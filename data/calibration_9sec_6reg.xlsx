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IẾN ĐỔI KHÍ HẬU\"/>
    </mc:Choice>
  </mc:AlternateContent>
  <xr:revisionPtr revIDLastSave="0" documentId="13_ncr:1_{174A6BCD-7610-4731-91DA-B295DEC27DE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ntent" sheetId="9" r:id="rId1"/>
    <sheet name="Data" sheetId="11" r:id="rId2"/>
    <sheet name="Damage Functions Labour" sheetId="12" r:id="rId3"/>
    <sheet name="Damage Functions Capital" sheetId="13" r:id="rId4"/>
    <sheet name="Damage Functions TFP" sheetId="14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2" i="14" l="1"/>
  <c r="F402" i="14"/>
  <c r="F377" i="14"/>
  <c r="F352" i="14"/>
  <c r="F327" i="14"/>
  <c r="A327" i="14"/>
  <c r="F302" i="14"/>
  <c r="A302" i="14"/>
  <c r="F277" i="14"/>
  <c r="A277" i="14"/>
  <c r="F252" i="14"/>
  <c r="A252" i="14"/>
  <c r="F227" i="14"/>
  <c r="A227" i="14"/>
  <c r="F202" i="14"/>
  <c r="A202" i="14"/>
  <c r="F177" i="14"/>
  <c r="A177" i="14"/>
  <c r="F152" i="14"/>
  <c r="A152" i="14"/>
  <c r="F127" i="14"/>
  <c r="A127" i="14"/>
  <c r="F102" i="14"/>
  <c r="A102" i="14"/>
  <c r="F77" i="14"/>
  <c r="A77" i="14"/>
  <c r="F52" i="14"/>
  <c r="A52" i="14"/>
  <c r="F27" i="14"/>
  <c r="A27" i="14"/>
  <c r="I7" i="14"/>
  <c r="F2" i="14"/>
  <c r="A2" i="14"/>
  <c r="F402" i="13"/>
  <c r="F377" i="13"/>
  <c r="F352" i="13"/>
  <c r="F327" i="13"/>
  <c r="A327" i="13"/>
  <c r="F302" i="13"/>
  <c r="A302" i="13"/>
  <c r="F277" i="13"/>
  <c r="A277" i="13"/>
  <c r="F252" i="13"/>
  <c r="A252" i="13"/>
  <c r="F227" i="13"/>
  <c r="A227" i="13"/>
  <c r="F202" i="13"/>
  <c r="A202" i="13"/>
  <c r="F177" i="13"/>
  <c r="A177" i="13"/>
  <c r="F152" i="13"/>
  <c r="A152" i="13"/>
  <c r="F127" i="13"/>
  <c r="A127" i="13"/>
  <c r="F102" i="13"/>
  <c r="A102" i="13"/>
  <c r="F77" i="13"/>
  <c r="A77" i="13"/>
  <c r="F52" i="13"/>
  <c r="A52" i="13"/>
  <c r="F27" i="13"/>
  <c r="A27" i="13"/>
  <c r="F2" i="13"/>
  <c r="A2" i="13"/>
  <c r="F1327" i="12"/>
  <c r="A1327" i="12"/>
  <c r="F1302" i="12"/>
  <c r="A1302" i="12"/>
  <c r="F1277" i="12"/>
  <c r="A1277" i="12"/>
  <c r="F1252" i="12"/>
  <c r="A1252" i="12"/>
  <c r="F1227" i="12"/>
  <c r="A1227" i="12"/>
  <c r="F1202" i="12"/>
  <c r="A1202" i="12"/>
  <c r="F1177" i="12"/>
  <c r="A1177" i="12"/>
  <c r="F1152" i="12"/>
  <c r="A1152" i="12"/>
  <c r="F1127" i="12"/>
  <c r="A1127" i="12"/>
  <c r="F1102" i="12"/>
  <c r="A1102" i="12"/>
  <c r="F1077" i="12"/>
  <c r="A1077" i="12"/>
  <c r="F1052" i="12"/>
  <c r="A1052" i="12"/>
  <c r="F1027" i="12"/>
  <c r="A1027" i="12"/>
  <c r="F1002" i="12"/>
  <c r="A1002" i="12"/>
  <c r="F977" i="12"/>
  <c r="A977" i="12"/>
  <c r="F952" i="12"/>
  <c r="A952" i="12"/>
  <c r="F927" i="12"/>
  <c r="A927" i="12"/>
  <c r="F902" i="12"/>
  <c r="A902" i="12"/>
  <c r="F877" i="12"/>
  <c r="A877" i="12"/>
  <c r="F852" i="12"/>
  <c r="A852" i="12"/>
  <c r="F827" i="12"/>
  <c r="A827" i="12"/>
  <c r="F802" i="12"/>
  <c r="A802" i="12"/>
  <c r="F777" i="12"/>
  <c r="A777" i="12"/>
  <c r="F752" i="12"/>
  <c r="A752" i="12"/>
  <c r="F727" i="12"/>
  <c r="A727" i="12"/>
  <c r="F702" i="12"/>
  <c r="A702" i="12"/>
  <c r="F677" i="12"/>
  <c r="A677" i="12"/>
  <c r="F652" i="12"/>
  <c r="A652" i="12"/>
  <c r="F627" i="12"/>
  <c r="A627" i="12"/>
  <c r="F602" i="12"/>
  <c r="A602" i="12"/>
  <c r="F577" i="12"/>
  <c r="A577" i="12"/>
  <c r="F552" i="12"/>
  <c r="A552" i="12"/>
  <c r="F527" i="12"/>
  <c r="A527" i="12"/>
  <c r="F502" i="12"/>
  <c r="A502" i="12"/>
  <c r="F477" i="12"/>
  <c r="A477" i="12"/>
  <c r="F452" i="12"/>
  <c r="A452" i="12"/>
  <c r="F427" i="12"/>
  <c r="A427" i="12"/>
  <c r="F402" i="12"/>
  <c r="A402" i="12"/>
  <c r="F377" i="12"/>
  <c r="A377" i="12"/>
  <c r="F352" i="12"/>
  <c r="A352" i="12"/>
  <c r="F327" i="12"/>
  <c r="A327" i="12"/>
  <c r="F302" i="12"/>
  <c r="A302" i="12"/>
  <c r="F277" i="12"/>
  <c r="A277" i="12"/>
  <c r="F252" i="12"/>
  <c r="A252" i="12"/>
  <c r="F227" i="12"/>
  <c r="A227" i="12"/>
  <c r="F202" i="12"/>
  <c r="A202" i="12"/>
  <c r="F177" i="12"/>
  <c r="A177" i="12"/>
  <c r="F152" i="12"/>
  <c r="A152" i="12"/>
  <c r="F127" i="12"/>
  <c r="A127" i="12"/>
  <c r="F102" i="12"/>
  <c r="A102" i="12"/>
  <c r="F77" i="12"/>
  <c r="A77" i="12"/>
  <c r="F52" i="12"/>
  <c r="A52" i="12"/>
  <c r="F27" i="12"/>
  <c r="A27" i="12"/>
  <c r="F2" i="12"/>
  <c r="A2" i="12"/>
  <c r="H1357" i="11"/>
  <c r="I1357" i="11" s="1"/>
  <c r="D77" i="11"/>
  <c r="D76" i="11"/>
  <c r="D75" i="11"/>
  <c r="D74" i="11"/>
  <c r="D73" i="11"/>
  <c r="D72" i="11"/>
  <c r="D71" i="11"/>
  <c r="C68" i="11"/>
  <c r="C67" i="11"/>
  <c r="C66" i="11"/>
  <c r="C65" i="11"/>
  <c r="C64" i="11"/>
  <c r="C63" i="11"/>
  <c r="C62" i="11"/>
  <c r="D59" i="11"/>
  <c r="D58" i="11"/>
  <c r="D57" i="11"/>
  <c r="D56" i="11"/>
  <c r="D55" i="11"/>
  <c r="D54" i="11"/>
  <c r="D53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B30" i="11"/>
  <c r="B29" i="11"/>
  <c r="B28" i="11"/>
  <c r="B27" i="11"/>
  <c r="B26" i="11"/>
  <c r="B25" i="11"/>
  <c r="B24" i="11"/>
  <c r="B23" i="11"/>
  <c r="B22" i="11"/>
  <c r="B20" i="11"/>
  <c r="B19" i="11"/>
  <c r="B18" i="11"/>
  <c r="B17" i="11"/>
  <c r="B16" i="11"/>
  <c r="B15" i="11"/>
  <c r="B14" i="11"/>
  <c r="B13" i="11"/>
  <c r="B12" i="11"/>
  <c r="B10" i="11"/>
  <c r="B9" i="11"/>
  <c r="B8" i="11"/>
  <c r="B7" i="11"/>
  <c r="B6" i="11"/>
  <c r="B5" i="11"/>
  <c r="B4" i="11"/>
  <c r="B3" i="11"/>
  <c r="B2" i="11"/>
  <c r="A191" i="13" l="1" a="1"/>
  <c r="A1262" i="12" a="1"/>
  <c r="A131" i="12" a="1"/>
  <c r="A487" i="14" a="1"/>
  <c r="A1041" i="12" a="1"/>
  <c r="A122" i="12" a="1"/>
  <c r="A855" i="13" a="1"/>
  <c r="A1249" i="13" a="1"/>
  <c r="A171" i="12" a="1"/>
  <c r="A521" i="13" a="1"/>
  <c r="A816" i="14" a="1"/>
  <c r="A208" i="12" a="1"/>
  <c r="A99" i="12" a="1"/>
  <c r="A208" i="13" a="1"/>
  <c r="A1196" i="12" a="1"/>
  <c r="A992" i="13" a="1"/>
  <c r="A891" i="13" a="1"/>
  <c r="A16" i="14" a="1"/>
  <c r="A571" i="12" a="1"/>
  <c r="A420" i="14" a="1"/>
  <c r="A697" i="12" a="1"/>
  <c r="A545" i="13" a="1"/>
  <c r="A880" i="12" a="1"/>
  <c r="A604" i="14" a="1"/>
  <c r="A1317" i="14" a="1"/>
  <c r="A468" i="12" a="1"/>
  <c r="A1276" i="13" a="1"/>
  <c r="A1188" i="13" a="1"/>
  <c r="A1130" i="13" a="1"/>
  <c r="A145" i="14" a="1"/>
  <c r="A1167" i="12" a="1"/>
  <c r="A956" i="13" a="1"/>
  <c r="A446" i="14" a="1"/>
  <c r="A5" i="12" a="1"/>
  <c r="A221" i="13" a="1"/>
  <c r="A1000" i="14" a="1"/>
  <c r="A864" i="12" a="1"/>
  <c r="A995" i="13" a="1"/>
  <c r="A254" i="13" a="1"/>
  <c r="A1034" i="14" a="1"/>
  <c r="A449" i="13" a="1"/>
  <c r="A54" i="13" a="1"/>
  <c r="A829" i="14" a="1"/>
  <c r="A624" i="14" a="1"/>
  <c r="A851" i="12" a="1"/>
  <c r="A447" i="12" a="1"/>
  <c r="A859" i="12" a="1"/>
  <c r="A89" i="14" a="1"/>
  <c r="A35" i="13" a="1"/>
  <c r="A691" i="13" a="1"/>
  <c r="A539" i="14" a="1"/>
  <c r="A393" i="12" a="1"/>
  <c r="A137" i="12" a="1"/>
  <c r="A306" i="14" a="1"/>
  <c r="A70" i="14" a="1"/>
  <c r="A624" i="13" a="1"/>
  <c r="A97" i="12" a="1"/>
  <c r="A481" i="12" a="1"/>
  <c r="A741" i="13" a="1"/>
  <c r="A1254" i="13" a="1"/>
  <c r="A467" i="12" a="1"/>
  <c r="A701" i="13" a="1"/>
  <c r="A466" i="14" a="1"/>
  <c r="A1076" i="14" a="1"/>
  <c r="A947" i="14" a="1"/>
  <c r="A558" i="14" a="1"/>
  <c r="A1168" i="13" a="1"/>
  <c r="A1022" i="13" a="1"/>
  <c r="A141" i="13" a="1"/>
  <c r="A318" i="14" a="1"/>
  <c r="A1209" i="14" a="1"/>
  <c r="A424" i="13" a="1"/>
  <c r="A738" i="12" a="1"/>
  <c r="A1251" i="13" a="1"/>
  <c r="A339" i="12" a="1"/>
  <c r="A954" i="13" a="1"/>
  <c r="A706" i="12" a="1"/>
  <c r="A150" i="13" a="1"/>
  <c r="A663" i="12" a="1"/>
  <c r="A126" i="12" a="1"/>
  <c r="A96" i="12" a="1"/>
  <c r="A189" i="13" a="1"/>
  <c r="A309" i="14" a="1"/>
  <c r="A1160" i="14" a="1"/>
  <c r="A259" i="13" a="1"/>
  <c r="A875" i="14" a="1"/>
  <c r="A626" i="14" a="1"/>
  <c r="A1293" i="13" a="1"/>
  <c r="A631" i="12" a="1"/>
  <c r="A199" i="14" a="1"/>
  <c r="A456" i="12" a="1"/>
  <c r="A1254" i="12" a="1"/>
  <c r="A489" i="12" a="1"/>
  <c r="A80" i="14" a="1"/>
  <c r="A193" i="14" a="1"/>
  <c r="A637" i="12" a="1"/>
  <c r="A674" i="12" a="1"/>
  <c r="A1345" i="14" a="1"/>
  <c r="A283" i="13" a="1"/>
  <c r="A204" i="14" a="1"/>
  <c r="A388" i="12" a="1"/>
  <c r="A992" i="12" a="1"/>
  <c r="A559" i="13" a="1"/>
  <c r="A1283" i="13" a="1"/>
  <c r="A1129" i="13" a="1"/>
  <c r="A416" i="14" a="1"/>
  <c r="A1006" i="14" a="1"/>
  <c r="A1087" i="14" a="1"/>
  <c r="A406" i="14" a="1"/>
  <c r="A1083" i="12" a="1"/>
  <c r="A312" i="14" a="1"/>
  <c r="A124" i="12" a="1"/>
  <c r="A358" i="12" a="1"/>
  <c r="A474" i="12" a="1"/>
  <c r="A412" i="12" a="1"/>
  <c r="A785" i="12" a="1"/>
  <c r="A1099" i="14" a="1"/>
  <c r="A205" i="14" a="1"/>
  <c r="A125" i="14" a="1"/>
  <c r="A217" i="12" a="1"/>
  <c r="A675" i="13" a="1"/>
  <c r="A1293" i="14" a="1"/>
  <c r="A758" i="14" a="1"/>
  <c r="A681" i="12" a="1"/>
  <c r="A1089" i="13" a="1"/>
  <c r="A109" i="13" a="1"/>
  <c r="A1122" i="13" a="1"/>
  <c r="A341" i="13" a="1"/>
  <c r="A481" i="13" a="1"/>
  <c r="A117" i="12" a="1"/>
  <c r="A876" i="12" a="1"/>
  <c r="A58" i="14" a="1"/>
  <c r="A581" i="13" a="1"/>
  <c r="A816" i="13" a="1"/>
  <c r="A550" i="14" a="1"/>
  <c r="A554" i="14" a="1"/>
  <c r="A438" i="13" a="1"/>
  <c r="A1234" i="12" a="1"/>
  <c r="A1264" i="14" a="1"/>
  <c r="A1283" i="14" a="1"/>
  <c r="A924" i="13" a="1"/>
  <c r="A820" i="14" a="1"/>
  <c r="A1304" i="13" a="1"/>
  <c r="A104" i="14" a="1"/>
  <c r="A1104" i="13" a="1"/>
  <c r="A385" i="14" a="1"/>
  <c r="A1162" i="13" a="1"/>
  <c r="A366" i="14" a="1"/>
  <c r="A91" i="13" a="1"/>
  <c r="A229" i="12" a="1"/>
  <c r="A1206" i="13" a="1"/>
  <c r="A214" i="13" a="1"/>
  <c r="A920" i="14" a="1"/>
  <c r="A1314" i="12" a="1"/>
  <c r="A1085" i="14" a="1"/>
  <c r="A1018" i="14" a="1"/>
  <c r="A106" i="14" a="1"/>
  <c r="A404" i="14" a="1"/>
  <c r="A516" i="14" a="1"/>
  <c r="A500" i="14" a="1"/>
  <c r="A695" i="14" a="1"/>
  <c r="A1131" i="14" a="1"/>
  <c r="A581" i="14" a="1"/>
  <c r="A867" i="14" a="1"/>
  <c r="A900" i="12" a="1"/>
  <c r="A1231" i="14" a="1"/>
  <c r="A55" i="14" a="1"/>
  <c r="A249" i="13" a="1"/>
  <c r="A589" i="12" a="1"/>
  <c r="A685" i="12" a="1"/>
  <c r="A588" i="14" a="1"/>
  <c r="A1156" i="14" a="1"/>
  <c r="A1224" i="13" a="1"/>
  <c r="A845" i="14" a="1"/>
  <c r="A1192" i="14" a="1"/>
  <c r="A1195" i="14" a="1"/>
  <c r="A342" i="13" a="1"/>
  <c r="A400" i="12" a="1"/>
  <c r="A625" i="12" a="1"/>
  <c r="A683" i="14" a="1"/>
  <c r="A1200" i="13" a="1"/>
  <c r="A230" i="12" a="1"/>
  <c r="A697" i="14" a="1"/>
  <c r="A668" i="14" a="1"/>
  <c r="A312" i="12" a="1"/>
  <c r="A939" i="14" a="1"/>
  <c r="A1322" i="12" a="1"/>
  <c r="A520" i="13" a="1"/>
  <c r="A650" i="12" a="1"/>
  <c r="A949" i="13" a="1"/>
  <c r="A855" i="14" a="1"/>
  <c r="A625" i="14" a="1"/>
  <c r="A1243" i="13" a="1"/>
  <c r="A1249" i="14" a="1"/>
  <c r="A1005" i="13" a="1"/>
  <c r="A222" i="13" a="1"/>
  <c r="A655" i="13" a="1"/>
  <c r="A345" i="13" a="1"/>
  <c r="A1114" i="13" a="1"/>
  <c r="A97" i="13" a="1"/>
  <c r="A783" i="14" a="1"/>
  <c r="A1030" i="14" a="1"/>
  <c r="A506" i="14" a="1"/>
  <c r="A910" i="13" a="1"/>
  <c r="A833" i="13" a="1"/>
  <c r="A204" i="13" a="1"/>
  <c r="A609" i="12" a="1"/>
  <c r="A79" i="14" a="1"/>
  <c r="A962" i="12" a="1"/>
  <c r="A1088" i="12" a="1"/>
  <c r="A97" i="14" a="1"/>
  <c r="A747" i="12" a="1"/>
  <c r="A318" i="12" a="1"/>
  <c r="A521" i="14" a="1"/>
  <c r="A354" i="12" a="1"/>
  <c r="A1112" i="14" a="1"/>
  <c r="A512" i="14" a="1"/>
  <c r="A954" i="12" a="1"/>
  <c r="A1084" i="14" a="1"/>
  <c r="A646" i="12" a="1"/>
  <c r="A962" i="13" a="1"/>
  <c r="A908" i="14" a="1"/>
  <c r="A959" i="13" a="1"/>
  <c r="A1155" i="14" a="1"/>
  <c r="A888" i="13" a="1"/>
  <c r="A1066" i="14" a="1"/>
  <c r="A818" i="12" a="1"/>
  <c r="A664" i="13" a="1"/>
  <c r="A1272" i="14" a="1"/>
  <c r="A488" i="12" a="1"/>
  <c r="A56" i="14" a="1"/>
  <c r="A235" i="13" a="1"/>
  <c r="A460" i="13" a="1"/>
  <c r="A867" i="12" a="1"/>
  <c r="A1149" i="14" a="1"/>
  <c r="A717" i="14" a="1"/>
  <c r="A668" i="12" a="1"/>
  <c r="A504" i="14" a="1"/>
  <c r="A1245" i="12" a="1"/>
  <c r="A60" i="13" a="1"/>
  <c r="A143" i="12" a="1"/>
  <c r="A1231" i="12" a="1"/>
  <c r="A713" i="14" a="1"/>
  <c r="A166" i="13" a="1"/>
  <c r="A93" i="13" a="1"/>
  <c r="A938" i="14" a="1"/>
  <c r="A884" i="14" a="1"/>
  <c r="A1333" i="14" a="1"/>
  <c r="A256" i="12" a="1"/>
  <c r="A291" i="12" a="1"/>
  <c r="A737" i="13" a="1"/>
  <c r="A621" i="14" a="1"/>
  <c r="A310" i="12" a="1"/>
  <c r="A846" i="12" a="1"/>
  <c r="A1268" i="13" a="1"/>
  <c r="A337" i="14" a="1"/>
  <c r="A918" i="12" a="1"/>
  <c r="A470" i="14" a="1"/>
  <c r="A768" i="12" a="1"/>
  <c r="A760" i="13" a="1"/>
  <c r="A399" i="13" a="1"/>
  <c r="A58" i="13" a="1"/>
  <c r="A571" i="14" a="1"/>
  <c r="A558" i="12" a="1"/>
  <c r="A176" i="13" a="1"/>
  <c r="A609" i="13" a="1"/>
  <c r="A946" i="14" a="1"/>
  <c r="A1218" i="13" a="1"/>
  <c r="A931" i="13" a="1"/>
  <c r="A813" i="14" a="1"/>
  <c r="A545" i="12" a="1"/>
  <c r="A367" i="14" a="1"/>
  <c r="A591" i="14" a="1"/>
  <c r="A1313" i="13" a="1"/>
  <c r="A306" i="13" a="1"/>
  <c r="A67" i="12" a="1"/>
  <c r="A956" i="14" a="1"/>
  <c r="A376" i="12" a="1"/>
  <c r="A291" i="14" a="1"/>
  <c r="A163" i="13" a="1"/>
  <c r="A963" i="13" a="1"/>
  <c r="A863" i="12" a="1"/>
  <c r="A737" i="14" a="1"/>
  <c r="A637" i="13" a="1"/>
  <c r="A1214" i="12" a="1"/>
  <c r="A842" i="13" a="1"/>
  <c r="A333" i="13" a="1"/>
  <c r="A531" i="13" a="1"/>
  <c r="A255" i="13" a="1"/>
  <c r="A517" i="13" a="1"/>
  <c r="A1301" i="13" a="1"/>
  <c r="A933" i="14" a="1"/>
  <c r="A862" i="14" a="1"/>
  <c r="A1309" i="12" a="1"/>
  <c r="A518" i="12" a="1"/>
  <c r="A812" i="12" a="1"/>
  <c r="A951" i="12" a="1"/>
  <c r="A491" i="13" a="1"/>
  <c r="A1329" i="14" a="1"/>
  <c r="A638" i="12" a="1"/>
  <c r="A114" i="13" a="1"/>
  <c r="A733" i="14" a="1"/>
  <c r="A660" i="13" a="1"/>
  <c r="A1346" i="12" a="1"/>
  <c r="A1250" i="12" a="1"/>
  <c r="A914" i="14" a="1"/>
  <c r="A555" i="14" a="1"/>
  <c r="A721" i="12" a="1"/>
  <c r="A1271" i="14" a="1"/>
  <c r="A709" i="13" a="1"/>
  <c r="A635" i="12" a="1"/>
  <c r="A147" i="13" a="1"/>
  <c r="A49" i="13" a="1"/>
  <c r="A396" i="12" a="1"/>
  <c r="A562" i="12" a="1"/>
  <c r="A18" i="13" a="1"/>
  <c r="A524" i="14" a="1"/>
  <c r="A1154" i="14" a="1"/>
  <c r="A325" i="12" a="1"/>
  <c r="A30" i="13" a="1"/>
  <c r="A501" i="13" a="1"/>
  <c r="A10" i="13" a="1"/>
  <c r="A839" i="13" a="1"/>
  <c r="A658" i="14" a="1"/>
  <c r="A687" i="14" a="1"/>
  <c r="A66" i="14" a="1"/>
  <c r="A358" i="13" a="1"/>
  <c r="A133" i="13" a="1"/>
  <c r="A656" i="14" a="1"/>
  <c r="A120" i="13" a="1"/>
  <c r="A113" i="13" a="1"/>
  <c r="A806" i="12" a="1"/>
  <c r="A376" i="13" a="1"/>
  <c r="A789" i="14" a="1"/>
  <c r="A455" i="12" a="1"/>
  <c r="A289" i="13" a="1"/>
  <c r="A1146" i="14" a="1"/>
  <c r="A966" i="13" a="1"/>
  <c r="A434" i="13" a="1"/>
  <c r="A1270" i="12" a="1"/>
  <c r="A942" i="13" a="1"/>
  <c r="A243" i="14" a="1"/>
  <c r="A567" i="13" a="1"/>
  <c r="A575" i="13" a="1"/>
  <c r="A1242" i="12" a="1"/>
  <c r="A680" i="12" a="1"/>
  <c r="A279" i="12" a="1"/>
  <c r="A525" i="13" a="1"/>
  <c r="A837" i="14" a="1"/>
  <c r="A141" i="14" a="1"/>
  <c r="A1195" i="13" a="1"/>
  <c r="A145" i="13" a="1"/>
  <c r="A17" i="14" a="1"/>
  <c r="A242" i="14" a="1"/>
  <c r="A730" i="12" a="1"/>
  <c r="A622" i="14" a="1"/>
  <c r="A255" i="14" a="1"/>
  <c r="A659" i="12" a="1"/>
  <c r="A212" i="14" a="1"/>
  <c r="A30" i="12" a="1"/>
  <c r="A524" i="13" a="1"/>
  <c r="A1351" i="12" a="1"/>
  <c r="A133" i="14" a="1"/>
  <c r="A143" i="14" a="1"/>
  <c r="A1322" i="13" a="1"/>
  <c r="A468" i="13" a="1"/>
  <c r="A535" i="14" a="1"/>
  <c r="A460" i="14" a="1"/>
  <c r="A792" i="12" a="1"/>
  <c r="A500" i="13" a="1"/>
  <c r="A913" i="14" a="1"/>
  <c r="A1020" i="12" a="1"/>
  <c r="A455" i="13" a="1"/>
  <c r="A1005" i="14" a="1"/>
  <c r="A1314" i="13" a="1"/>
  <c r="A839" i="12" a="1"/>
  <c r="A79" i="12" a="1"/>
  <c r="A1097" i="12" a="1"/>
  <c r="A247" i="14" a="1"/>
  <c r="A1263" i="14" a="1"/>
  <c r="A104" i="12" a="1"/>
  <c r="A570" i="14" a="1"/>
  <c r="A749" i="13" a="1"/>
  <c r="A167" i="14" a="1"/>
  <c r="A662" i="13" a="1"/>
  <c r="A595" i="14" a="1"/>
  <c r="A745" i="13" a="1"/>
  <c r="A1331" i="12" a="1"/>
  <c r="A446" i="13" a="1"/>
  <c r="A1116" i="13" a="1"/>
  <c r="A266" i="13" a="1"/>
  <c r="A1166" i="14" a="1"/>
  <c r="A379" i="14" a="1"/>
  <c r="A546" i="13" a="1"/>
  <c r="A555" i="13" a="1"/>
  <c r="A731" i="14" a="1"/>
  <c r="A1054" i="14" a="1"/>
  <c r="A718" i="14" a="1"/>
  <c r="A1155" i="12" a="1"/>
  <c r="A187" i="14" a="1"/>
  <c r="A683" i="13" a="1"/>
  <c r="A568" i="12" a="1"/>
  <c r="A170" i="14" a="1"/>
  <c r="A637" i="14" a="1"/>
  <c r="A1142" i="13" a="1"/>
  <c r="A443" i="13" a="1"/>
  <c r="A1313" i="14" a="1"/>
  <c r="A397" i="14" a="1"/>
  <c r="A267" i="13" a="1"/>
  <c r="A1168" i="12" a="1"/>
  <c r="A583" i="14" a="1"/>
  <c r="A551" i="12" a="1"/>
  <c r="A835" i="12" a="1"/>
  <c r="A275" i="14" a="1"/>
  <c r="A1287" i="12" a="1"/>
  <c r="A441" i="12" a="1"/>
  <c r="A1099" i="13" a="1"/>
  <c r="A693" i="14" a="1"/>
  <c r="A1129" i="14" a="1"/>
  <c r="A1318" i="13" a="1"/>
  <c r="A913" i="13" a="1"/>
  <c r="A1008" i="13" a="1"/>
  <c r="A243" i="12" a="1"/>
  <c r="A1242" i="13" a="1"/>
  <c r="A1046" i="13" a="1"/>
  <c r="A1267" i="13" a="1"/>
  <c r="A710" i="13" a="1"/>
  <c r="A656" i="13" a="1"/>
  <c r="A963" i="12" a="1"/>
  <c r="A1006" i="12" a="1"/>
  <c r="A59" i="13" a="1"/>
  <c r="A1081" i="13" a="1"/>
  <c r="A445" i="13" a="1"/>
  <c r="A1106" i="12" a="1"/>
  <c r="A704" i="13" a="1"/>
  <c r="A424" i="14" a="1"/>
  <c r="A572" i="12" a="1"/>
  <c r="A284" i="14" a="1"/>
  <c r="A670" i="13" a="1"/>
  <c r="A935" i="13" a="1"/>
  <c r="A910" i="14" a="1"/>
  <c r="A676" i="14" a="1"/>
  <c r="A930" i="14" a="1"/>
  <c r="A542" i="12" a="1"/>
  <c r="A583" i="12" a="1"/>
  <c r="A1264" i="12" a="1"/>
  <c r="A514" i="13" a="1"/>
  <c r="A262" i="14" a="1"/>
  <c r="A449" i="14" a="1"/>
  <c r="A1139" i="13" a="1"/>
  <c r="A1045" i="14" a="1"/>
  <c r="A342" i="12" a="1"/>
  <c r="A41" i="14" a="1"/>
  <c r="A734" i="14" a="1"/>
  <c r="A1233" i="13" a="1"/>
  <c r="A260" i="12" a="1"/>
  <c r="A418" i="13" a="1"/>
  <c r="A333" i="12" a="1"/>
  <c r="A1083" i="13" a="1"/>
  <c r="A1049" i="14" a="1"/>
  <c r="A99" i="14" a="1"/>
  <c r="A421" i="13" a="1"/>
  <c r="A989" i="14" a="1"/>
  <c r="A237" i="12" a="1"/>
  <c r="A195" i="12" a="1"/>
  <c r="A224" i="14" a="1"/>
  <c r="A756" i="12" a="1"/>
  <c r="A550" i="12" a="1"/>
  <c r="A1217" i="14" a="1"/>
  <c r="A1068" i="13" a="1"/>
  <c r="A266" i="14" a="1"/>
  <c r="A991" i="14" a="1"/>
  <c r="A1158" i="12" a="1"/>
  <c r="A135" i="13" a="1"/>
  <c r="A393" i="14" a="1"/>
  <c r="A304" i="13" a="1"/>
  <c r="A331" i="14" a="1"/>
  <c r="A476" i="14" a="1"/>
  <c r="A88" i="12" a="1"/>
  <c r="A46" i="13" a="1"/>
  <c r="A689" i="12" a="1"/>
  <c r="A691" i="14" a="1"/>
  <c r="A1018" i="13" a="1"/>
  <c r="A1188" i="14" a="1"/>
  <c r="A454" i="13" a="1"/>
  <c r="A437" i="14" a="1"/>
  <c r="A34" i="14" a="1"/>
  <c r="A854" i="14" a="1"/>
  <c r="A1259" i="14" a="1"/>
  <c r="A1126" i="12" a="1"/>
  <c r="A583" i="13" a="1"/>
  <c r="A605" i="14" a="1"/>
  <c r="A1110" i="12" a="1"/>
  <c r="A892" i="12" a="1"/>
  <c r="A192" i="14" a="1"/>
  <c r="A221" i="12" a="1"/>
  <c r="A909" i="12" a="1"/>
  <c r="A1234" i="14" a="1"/>
  <c r="A1174" i="14" a="1"/>
  <c r="A456" i="14" a="1"/>
  <c r="A570" i="12" a="1"/>
  <c r="A916" i="14" a="1"/>
  <c r="A1345" i="12" a="1"/>
  <c r="A216" i="12" a="1"/>
  <c r="A1089" i="12" a="1"/>
  <c r="A508" i="13" a="1"/>
  <c r="A1287" i="13" a="1"/>
  <c r="A247" i="13" a="1"/>
  <c r="A770" i="12" a="1"/>
  <c r="A96" i="14" a="1"/>
  <c r="A41" i="13" a="1"/>
  <c r="A1213" i="12" a="1"/>
  <c r="A731" i="13" a="1"/>
  <c r="A1213" i="13" a="1"/>
  <c r="A341" i="12" a="1"/>
  <c r="A863" i="13" a="1"/>
  <c r="A429" i="13" a="1"/>
  <c r="A189" i="14" a="1"/>
  <c r="A970" i="13" a="1"/>
  <c r="A760" i="12" a="1"/>
  <c r="A526" i="14" a="1"/>
  <c r="A39" i="13" a="1"/>
  <c r="A892" i="13" a="1"/>
  <c r="A1241" i="14" a="1"/>
  <c r="A991" i="13" a="1"/>
  <c r="A149" i="14" a="1"/>
  <c r="A47" i="13" a="1"/>
  <c r="A762" i="12" a="1"/>
  <c r="A1124" i="13" a="1"/>
  <c r="A304" i="14" a="1"/>
  <c r="A1020" i="13" a="1"/>
  <c r="A164" i="13" a="1"/>
  <c r="A1350" i="13" a="1"/>
  <c r="A64" i="14" a="1"/>
  <c r="A1241" i="12" a="1"/>
  <c r="A1308" i="13" a="1"/>
  <c r="A1126" i="13" a="1"/>
  <c r="A234" i="14" a="1"/>
  <c r="A675" i="12" a="1"/>
  <c r="A447" i="13" a="1"/>
  <c r="A1113" i="12" a="1"/>
  <c r="A1238" i="14" a="1"/>
  <c r="A414" i="12" a="1"/>
  <c r="A174" i="13" a="1"/>
  <c r="A859" i="14" a="1"/>
  <c r="A1226" i="12" a="1"/>
  <c r="A437" i="13" a="1"/>
  <c r="A692" i="12" a="1"/>
  <c r="A368" i="13" a="1"/>
  <c r="A525" i="14" a="1"/>
  <c r="A834" i="12" a="1"/>
  <c r="A884" i="13" a="1"/>
  <c r="A1312" i="14" a="1"/>
  <c r="A326" i="14" a="1"/>
  <c r="A533" i="13" a="1"/>
  <c r="A417" i="13" a="1"/>
  <c r="A387" i="12" a="1"/>
  <c r="A635" i="13" a="1"/>
  <c r="A33" i="13" a="1"/>
  <c r="A1183" i="14" a="1"/>
  <c r="A475" i="14" a="1"/>
  <c r="A634" i="12" a="1"/>
  <c r="A1154" i="13" a="1"/>
  <c r="A784" i="12" a="1"/>
  <c r="A738" i="14" a="1"/>
  <c r="A1125" i="14" a="1"/>
  <c r="A763" i="13" a="1"/>
  <c r="A785" i="14" a="1"/>
  <c r="A971" i="14" a="1"/>
  <c r="A50" i="12" a="1"/>
  <c r="A262" i="13" a="1"/>
  <c r="A905" i="12" a="1"/>
  <c r="A596" i="14" a="1"/>
  <c r="A935" i="14" a="1"/>
  <c r="A750" i="12" a="1"/>
  <c r="A401" i="14" a="1"/>
  <c r="A647" i="12" a="1"/>
  <c r="A489" i="14" a="1"/>
  <c r="A808" i="14" a="1"/>
  <c r="A587" i="13" a="1"/>
  <c r="A1204" i="14" a="1"/>
  <c r="A463" i="12" a="1"/>
  <c r="A484" i="13" a="1"/>
  <c r="A522" i="14" a="1"/>
  <c r="A351" i="13" a="1"/>
  <c r="A429" i="14" a="1"/>
  <c r="A195" i="14" a="1"/>
  <c r="A1230" i="13" a="1"/>
  <c r="A1342" i="13" a="1"/>
  <c r="A912" i="13" a="1"/>
  <c r="A108" i="12" a="1"/>
  <c r="A1230" i="12" a="1"/>
  <c r="A26" i="14" a="1"/>
  <c r="A49" i="12" a="1"/>
  <c r="A689" i="14" a="1"/>
  <c r="A441" i="13" a="1"/>
  <c r="A1009" i="12" a="1"/>
  <c r="A789" i="13" a="1"/>
  <c r="A75" i="14" a="1"/>
  <c r="A993" i="14" a="1"/>
  <c r="A142" i="14" a="1"/>
  <c r="A1158" i="14" a="1"/>
  <c r="A771" i="13" a="1"/>
  <c r="A488" i="14" a="1"/>
  <c r="A897" i="14" a="1"/>
  <c r="A181" i="14" a="1"/>
  <c r="A641" i="12" a="1"/>
  <c r="A289" i="12" a="1"/>
  <c r="A1338" i="13" a="1"/>
  <c r="A855" i="12" a="1"/>
  <c r="A1351" i="14" a="1"/>
  <c r="A833" i="14" a="1"/>
  <c r="A1083" i="14" a="1"/>
  <c r="A529" i="13" a="1"/>
  <c r="A859" i="13" a="1"/>
  <c r="A412" i="14" a="1"/>
  <c r="A601" i="12" a="1"/>
  <c r="A904" i="13" a="1"/>
  <c r="A622" i="12" a="1"/>
  <c r="A217" i="14" a="1"/>
  <c r="A1258" i="12" a="1"/>
  <c r="A105" i="14" a="1"/>
  <c r="A1235" i="12" a="1"/>
  <c r="A175" i="14" a="1"/>
  <c r="A297" i="12" a="1"/>
  <c r="A560" i="12" a="1"/>
  <c r="A633" i="14" a="1"/>
  <c r="A1010" i="12" a="1"/>
  <c r="A659" i="14" a="1"/>
  <c r="A974" i="13" a="1"/>
  <c r="A522" i="13" a="1"/>
  <c r="A338" i="13" a="1"/>
  <c r="A987" i="12" a="1"/>
  <c r="A225" i="12" a="1"/>
  <c r="A1184" i="14" a="1"/>
  <c r="A9" i="12" a="1"/>
  <c r="A1062" i="14" a="1"/>
  <c r="A274" i="14" a="1"/>
  <c r="A162" i="14" a="1"/>
  <c r="A154" i="14" a="1"/>
  <c r="A56" i="12" a="1"/>
  <c r="A1022" i="12" a="1"/>
  <c r="A26" i="13" a="1"/>
  <c r="A1010" i="14" a="1"/>
  <c r="A91" i="14" a="1"/>
  <c r="A18" i="12" a="1"/>
  <c r="A37" i="13" a="1"/>
  <c r="A1012" i="12" a="1"/>
  <c r="A1059" i="12" a="1"/>
  <c r="A331" i="12" a="1"/>
  <c r="A1147" i="14" a="1"/>
  <c r="A370" i="14" a="1"/>
  <c r="A631" i="13" a="1"/>
  <c r="A838" i="14" a="1"/>
  <c r="A192" i="12" a="1"/>
  <c r="A1141" i="14" a="1"/>
  <c r="A313" i="14" a="1"/>
  <c r="A521" i="12" a="1"/>
  <c r="A1175" i="12" a="1"/>
  <c r="A295" i="13" a="1"/>
  <c r="A862" i="13" a="1"/>
  <c r="A733" i="13" a="1"/>
  <c r="A420" i="13" a="1"/>
  <c r="A205" i="13" a="1"/>
  <c r="A1299" i="13" a="1"/>
  <c r="A59" i="12" a="1"/>
  <c r="A442" i="14" a="1"/>
  <c r="A1021" i="14" a="1"/>
  <c r="A174" i="14" a="1"/>
  <c r="A401" i="12" a="1"/>
  <c r="A75" i="12" a="1"/>
  <c r="A1162" i="12" a="1"/>
  <c r="A1238" i="13" a="1"/>
  <c r="A1124" i="12" a="1"/>
  <c r="A1071" i="14" a="1"/>
  <c r="A1309" i="13" a="1"/>
  <c r="A1092" i="14" a="1"/>
  <c r="A35" i="14" a="1"/>
  <c r="A1216" i="14" a="1"/>
  <c r="A779" i="13" a="1"/>
  <c r="A1201" i="14" a="1"/>
  <c r="A801" i="13" a="1"/>
  <c r="A287" i="14" a="1"/>
  <c r="A1250" i="14" a="1"/>
  <c r="A883" i="12" a="1"/>
  <c r="A471" i="13" a="1"/>
  <c r="A83" i="13" a="1"/>
  <c r="A1064" i="14" a="1"/>
  <c r="A845" i="13" a="1"/>
  <c r="A860" i="13" a="1"/>
  <c r="A1263" i="13" a="1"/>
  <c r="A1047" i="13" a="1"/>
  <c r="A710" i="12" a="1"/>
  <c r="A1255" i="13" a="1"/>
  <c r="A1239" i="12" a="1"/>
  <c r="A524" i="12" a="1"/>
  <c r="A101" i="12" a="1"/>
  <c r="A493" i="12" a="1"/>
  <c r="A779" i="12" a="1"/>
  <c r="A587" i="12" a="1"/>
  <c r="A851" i="14" a="1"/>
  <c r="A1349" i="14" a="1"/>
  <c r="A1237" i="13" a="1"/>
  <c r="A679" i="12" a="1"/>
  <c r="A46" i="12" a="1"/>
  <c r="A825" i="13" a="1"/>
  <c r="A338" i="14" a="1"/>
  <c r="A88" i="13" a="1"/>
  <c r="A392" i="12" a="1"/>
  <c r="A912" i="14" a="1"/>
  <c r="A380" i="12" a="1"/>
  <c r="A406" i="13" a="1"/>
  <c r="A822" i="14" a="1"/>
  <c r="A1242" i="14" a="1"/>
  <c r="A258" i="14" a="1"/>
  <c r="A280" i="14" a="1"/>
  <c r="A299" i="14" a="1"/>
  <c r="A389" i="14" a="1"/>
  <c r="A117" i="13" a="1"/>
  <c r="A875" i="13" a="1"/>
  <c r="A513" i="14" a="1"/>
  <c r="A260" i="13" a="1"/>
  <c r="A817" i="12" a="1"/>
  <c r="A801" i="14" a="1"/>
  <c r="A979" i="13" a="1"/>
  <c r="A620" i="12" a="1"/>
  <c r="A659" i="13" a="1"/>
  <c r="A297" i="13" a="1"/>
  <c r="A399" i="12" a="1"/>
  <c r="A487" i="13" a="1"/>
  <c r="A971" i="13" a="1"/>
  <c r="A1175" i="14" a="1"/>
  <c r="A641" i="13" a="1"/>
  <c r="A1070" i="12" a="1"/>
  <c r="A617" i="14" a="1"/>
  <c r="A574" i="13" a="1"/>
  <c r="A756" i="14" a="1"/>
  <c r="A1105" i="14" a="1"/>
  <c r="A1334" i="12" a="1"/>
  <c r="A941" i="13" a="1"/>
  <c r="A1217" i="12" a="1"/>
  <c r="A491" i="14" a="1"/>
  <c r="A862" i="12" a="1"/>
  <c r="A1254" i="14" a="1"/>
  <c r="A343" i="14" a="1"/>
  <c r="A389" i="12" a="1"/>
  <c r="A988" i="12" a="1"/>
  <c r="A1014" i="12" a="1"/>
  <c r="A84" i="14" a="1"/>
  <c r="A725" i="12" a="1"/>
  <c r="A83" i="12" a="1"/>
  <c r="A858" i="13" a="1"/>
  <c r="A1039" i="13" a="1"/>
  <c r="A347" i="13" a="1"/>
  <c r="A1125" i="13" a="1"/>
  <c r="A268" i="12" a="1"/>
  <c r="A672" i="12" a="1"/>
  <c r="A337" i="12" a="1"/>
  <c r="A445" i="14" a="1"/>
  <c r="A1308" i="14" a="1"/>
  <c r="A499" i="12" a="1"/>
  <c r="A479" i="14" a="1"/>
  <c r="A1047" i="12" a="1"/>
  <c r="A1289" i="13" a="1"/>
  <c r="A987" i="14" a="1"/>
  <c r="A1163" i="12" a="1"/>
  <c r="A351" i="14" a="1"/>
  <c r="A660" i="14" a="1"/>
  <c r="A856" i="14" a="1"/>
  <c r="A529" i="12" a="1"/>
  <c r="A195" i="13" a="1"/>
  <c r="A889" i="13" a="1"/>
  <c r="A334" i="13" a="1"/>
  <c r="A21" i="13" a="1"/>
  <c r="A395" i="12" a="1"/>
  <c r="A364" i="12" a="1"/>
  <c r="A887" i="13" a="1"/>
  <c r="A1189" i="13" a="1"/>
  <c r="A879" i="13" a="1"/>
  <c r="A796" i="12" a="1"/>
  <c r="A1251" i="14" a="1"/>
  <c r="A1342" i="14" a="1"/>
  <c r="A706" i="13" a="1"/>
  <c r="A87" i="13" a="1"/>
  <c r="A474" i="14" a="1"/>
  <c r="A1199" i="14" a="1"/>
  <c r="A846" i="14" a="1"/>
  <c r="A1226" i="14" a="1"/>
  <c r="A1110" i="14" a="1"/>
  <c r="A259" i="12" a="1"/>
  <c r="A712" i="14" a="1"/>
  <c r="A322" i="13" a="1"/>
  <c r="A713" i="12" a="1"/>
  <c r="A558" i="13" a="1"/>
  <c r="A1070" i="13" a="1"/>
  <c r="A245" i="12" a="1"/>
  <c r="A1176" i="12" a="1"/>
  <c r="A958" i="12" a="1"/>
  <c r="A71" i="12" a="1"/>
  <c r="A904" i="12" a="1"/>
  <c r="A197" i="14" a="1"/>
  <c r="A841" i="12" a="1"/>
  <c r="A1281" i="14" a="1"/>
  <c r="A1093" i="13" a="1"/>
  <c r="A445" i="12" a="1"/>
  <c r="A797" i="13" a="1"/>
  <c r="A85" i="14" a="1"/>
  <c r="A1275" i="12" a="1"/>
  <c r="A771" i="12" a="1"/>
  <c r="A362" i="13" a="1"/>
  <c r="A785" i="13" a="1"/>
  <c r="A580" i="13" a="1"/>
  <c r="A693" i="13" a="1"/>
  <c r="A793" i="12" a="1"/>
  <c r="A363" i="14" a="1"/>
  <c r="A409" i="13" a="1"/>
  <c r="A887" i="12" a="1"/>
  <c r="A93" i="14" a="1"/>
  <c r="A155" i="12" a="1"/>
  <c r="A943" i="13" a="1"/>
  <c r="A1229" i="14" a="1"/>
  <c r="A212" i="13" a="1"/>
  <c r="A1167" i="13" a="1"/>
  <c r="A1080" i="12" a="1"/>
  <c r="A279" i="14" a="1"/>
  <c r="A666" i="14" a="1"/>
  <c r="A1004" i="13" a="1"/>
  <c r="A1176" i="13" a="1"/>
  <c r="A222" i="12" a="1"/>
  <c r="A1296" i="13" a="1"/>
  <c r="A867" i="13" a="1"/>
  <c r="A1024" i="12" a="1"/>
  <c r="A841" i="14" a="1"/>
  <c r="A497" i="13" a="1"/>
  <c r="A50" i="14" a="1"/>
  <c r="A74" i="14" a="1"/>
  <c r="A356" i="13" a="1"/>
  <c r="A879" i="12" a="1"/>
  <c r="A1220" i="12" a="1"/>
  <c r="A1133" i="12" a="1"/>
  <c r="A270" i="14" a="1"/>
  <c r="A410" i="14" a="1"/>
  <c r="A212" i="12" a="1"/>
  <c r="A547" i="14" a="1"/>
  <c r="A525" i="12" a="1"/>
  <c r="A1096" i="13" a="1"/>
  <c r="A787" i="13" a="1"/>
  <c r="A154" i="12" a="1"/>
  <c r="A492" i="13" a="1"/>
  <c r="A701" i="14" a="1"/>
  <c r="A263" i="13" a="1"/>
  <c r="A995" i="12" a="1"/>
  <c r="A335" i="14" a="1"/>
  <c r="A916" i="12" a="1"/>
  <c r="A118" i="14" a="1"/>
  <c r="A563" i="13" a="1"/>
  <c r="A1335" i="14" a="1"/>
  <c r="A1062" i="13" a="1"/>
  <c r="A533" i="12" a="1"/>
  <c r="A54" i="12" a="1"/>
  <c r="A820" i="12" a="1"/>
  <c r="A920" i="12" a="1"/>
  <c r="A1117" i="14" a="1"/>
  <c r="A971" i="12" a="1"/>
  <c r="A210" i="13" a="1"/>
  <c r="A1151" i="13" a="1"/>
  <c r="A817" i="13" a="1"/>
  <c r="A683" i="12" a="1"/>
  <c r="A1347" i="12" a="1"/>
  <c r="A947" i="12" a="1"/>
  <c r="A968" i="14" a="1"/>
  <c r="A670" i="12" a="1"/>
  <c r="A496" i="12" a="1"/>
  <c r="A400" i="14" a="1"/>
  <c r="A1174" i="12" a="1"/>
  <c r="A374" i="14" a="1"/>
  <c r="A33" i="12" a="1"/>
  <c r="A347" i="14" a="1"/>
  <c r="A1285" i="13" a="1"/>
  <c r="A588" i="13" a="1"/>
  <c r="A512" i="13" a="1"/>
  <c r="A645" i="13" a="1"/>
  <c r="A621" i="12" a="1"/>
  <c r="A1145" i="14" a="1"/>
  <c r="A959" i="14" a="1"/>
  <c r="A34" i="13" a="1"/>
  <c r="A364" i="14" a="1"/>
  <c r="A1243" i="12" a="1"/>
  <c r="A531" i="14" a="1"/>
  <c r="A163" i="12" a="1"/>
  <c r="A1333" i="13" a="1"/>
  <c r="A63" i="14" a="1"/>
  <c r="A158" i="12" a="1"/>
  <c r="A626" i="13" a="1"/>
  <c r="A335" i="12" a="1"/>
  <c r="A514" i="14" a="1"/>
  <c r="A1081" i="14" a="1"/>
  <c r="A1041" i="13" a="1"/>
  <c r="A266" i="12" a="1"/>
  <c r="A805" i="14" a="1"/>
  <c r="A505" i="13" a="1"/>
  <c r="A42" i="14" a="1"/>
  <c r="A1016" i="12" a="1"/>
  <c r="A30" i="14" a="1"/>
  <c r="A1133" i="13" a="1"/>
  <c r="A1037" i="13" a="1"/>
  <c r="A275" i="13" a="1"/>
  <c r="A1085" i="12" a="1"/>
  <c r="A164" i="14" a="1"/>
  <c r="A1343" i="13" a="1"/>
  <c r="A758" i="12" a="1"/>
  <c r="A306" i="12" a="1"/>
  <c r="A280" i="12" a="1"/>
  <c r="A1331" i="14" a="1"/>
  <c r="A1337" i="12" a="1"/>
  <c r="A272" i="12" a="1"/>
  <c r="A743" i="13" a="1"/>
  <c r="A1212" i="14" a="1"/>
  <c r="A888" i="12" a="1"/>
  <c r="A422" i="12" a="1"/>
  <c r="A1038" i="12" a="1"/>
  <c r="A687" i="12" a="1"/>
  <c r="A400" i="13" a="1"/>
  <c r="A975" i="12" a="1"/>
  <c r="A599" i="12" a="1"/>
  <c r="A739" i="12" a="1"/>
  <c r="A726" i="14" a="1"/>
  <c r="A1260" i="14" a="1"/>
  <c r="A1255" i="14" a="1"/>
  <c r="A363" i="12" a="1"/>
  <c r="A767" i="14" a="1"/>
  <c r="A920" i="13" a="1"/>
  <c r="A1137" i="14" a="1"/>
  <c r="A430" i="13" a="1"/>
  <c r="A1131" i="12" a="1"/>
  <c r="A466" i="13" a="1"/>
  <c r="A1349" i="12" a="1"/>
  <c r="A1350" i="12" a="1"/>
  <c r="A1338" i="14" a="1"/>
  <c r="A721" i="13" a="1"/>
  <c r="A517" i="14" a="1"/>
  <c r="A672" i="14" a="1"/>
  <c r="A437" i="12" a="1"/>
  <c r="A1266" i="12" a="1"/>
  <c r="A324" i="12" a="1"/>
  <c r="A1266" i="14" a="1"/>
  <c r="A462" i="12" a="1"/>
  <c r="A710" i="14" a="1"/>
  <c r="A1130" i="12" a="1"/>
  <c r="A904" i="14" a="1"/>
  <c r="A1208" i="13" a="1"/>
  <c r="A1150" i="14" a="1"/>
  <c r="A460" i="12" a="1"/>
  <c r="A688" i="14" a="1"/>
  <c r="A175" i="12" a="1"/>
  <c r="A112" i="13" a="1"/>
  <c r="A393" i="13" a="1"/>
  <c r="A222" i="14" a="1"/>
  <c r="A754" i="14" a="1"/>
  <c r="A1222" i="13" a="1"/>
  <c r="A1156" i="12" a="1"/>
  <c r="A342" i="14" a="1"/>
  <c r="A576" i="13" a="1"/>
  <c r="A199" i="12" a="1"/>
  <c r="A321" i="14" a="1"/>
  <c r="A496" i="13" a="1"/>
  <c r="A487" i="12" a="1"/>
  <c r="A908" i="12" a="1"/>
  <c r="A1312" i="12" a="1"/>
  <c r="A1258" i="14" a="1"/>
  <c r="A630" i="13" a="1"/>
  <c r="A499" i="14" a="1"/>
  <c r="A1017" i="14" a="1"/>
  <c r="A395" i="13" a="1"/>
  <c r="A1205" i="13" a="1"/>
  <c r="A197" i="13" a="1"/>
  <c r="A118" i="13" a="1"/>
  <c r="A267" i="14" a="1"/>
  <c r="A1341" i="14" a="1"/>
  <c r="A997" i="12" a="1"/>
  <c r="A1187" i="12" a="1"/>
  <c r="A663" i="13" a="1"/>
  <c r="A355" i="12" a="1"/>
  <c r="A359" i="14" a="1"/>
  <c r="A1114" i="12" a="1"/>
  <c r="A687" i="13" a="1"/>
  <c r="A1271" i="12" a="1"/>
  <c r="A767" i="13" a="1"/>
  <c r="A134" i="13" a="1"/>
  <c r="A130" i="12" a="1"/>
  <c r="A910" i="12" a="1"/>
  <c r="A679" i="14" a="1"/>
  <c r="A708" i="13" a="1"/>
  <c r="A1017" i="13" a="1"/>
  <c r="A147" i="14" a="1"/>
  <c r="A45" i="12" a="1"/>
  <c r="A483" i="12" a="1"/>
  <c r="A130" i="14" a="1"/>
  <c r="A1138" i="13" a="1"/>
  <c r="A983" i="14" a="1"/>
  <c r="A1072" i="12" a="1"/>
  <c r="A664" i="14" a="1"/>
  <c r="A1099" i="12" a="1"/>
  <c r="A806" i="13" a="1"/>
  <c r="A830" i="13" a="1"/>
  <c r="A814" i="13" a="1"/>
  <c r="A925" i="13" a="1"/>
  <c r="A605" i="13" a="1"/>
  <c r="A872" i="13" a="1"/>
  <c r="A725" i="14" a="1"/>
  <c r="A93" i="12" a="1"/>
  <c r="A767" i="12" a="1"/>
  <c r="A297" i="14" a="1"/>
  <c r="A317" i="12" a="1"/>
  <c r="A55" i="12" a="1"/>
  <c r="A1026" i="12" a="1"/>
  <c r="A505" i="14" a="1"/>
  <c r="A1208" i="14" a="1"/>
  <c r="A314" i="13" a="1"/>
  <c r="A233" i="14" a="1"/>
  <c r="A1143" i="14" a="1"/>
  <c r="A95" i="13" a="1"/>
  <c r="A160" i="12" a="1"/>
  <c r="A814" i="12" a="1"/>
  <c r="A989" i="12" a="1"/>
  <c r="A360" i="12" a="1"/>
  <c r="A695" i="13" a="1"/>
  <c r="A372" i="14" a="1"/>
  <c r="A988" i="14" a="1"/>
  <c r="A1112" i="13" a="1"/>
  <c r="A996" i="12" a="1"/>
  <c r="A106" i="12" a="1"/>
  <c r="A972" i="14" a="1"/>
  <c r="A1204" i="12" a="1"/>
  <c r="A313" i="12" a="1"/>
  <c r="A983" i="12" a="1"/>
  <c r="A1175" i="13" a="1"/>
  <c r="A1189" i="14" a="1"/>
  <c r="A349" i="12" a="1"/>
  <c r="A1100" i="14" a="1"/>
  <c r="A1118" i="12" a="1"/>
  <c r="A480" i="13" a="1"/>
  <c r="A1004" i="14" a="1"/>
  <c r="A585" i="12" a="1"/>
  <c r="A480" i="14" a="1"/>
  <c r="A925" i="14" a="1"/>
  <c r="A576" i="14" a="1"/>
  <c r="A316" i="12" a="1"/>
  <c r="A434" i="12" a="1"/>
  <c r="A1084" i="12" a="1"/>
  <c r="A1212" i="12" a="1"/>
  <c r="A735" i="12" a="1"/>
  <c r="A10" i="12" a="1"/>
  <c r="A905" i="14" a="1"/>
  <c r="A108" i="14" a="1"/>
  <c r="A556" i="14" a="1"/>
  <c r="A1138" i="14" a="1"/>
  <c r="A699" i="14" a="1"/>
  <c r="A450" i="14" a="1"/>
  <c r="A814" i="14" a="1"/>
  <c r="A1059" i="13" a="1"/>
  <c r="A676" i="13" a="1"/>
  <c r="A1134" i="12" a="1"/>
  <c r="A934" i="14" a="1"/>
  <c r="A504" i="13" a="1"/>
  <c r="A138" i="13" a="1"/>
  <c r="A1139" i="12" a="1"/>
  <c r="A1020" i="14" a="1"/>
  <c r="A893" i="12" a="1"/>
  <c r="A493" i="14" a="1"/>
  <c r="A1225" i="12" a="1"/>
  <c r="A63" i="13" a="1"/>
  <c r="A1156" i="13" a="1"/>
  <c r="A858" i="14" a="1"/>
  <c r="A729" i="13" a="1"/>
  <c r="A1046" i="14" a="1"/>
  <c r="A1206" i="14" a="1"/>
  <c r="A692" i="13" a="1"/>
  <c r="A1058" i="14" a="1"/>
  <c r="A1080" i="13" a="1"/>
  <c r="A139" i="12" a="1"/>
  <c r="A1193" i="14" a="1"/>
  <c r="A4" i="12" a="1"/>
  <c r="A1143" i="13" a="1"/>
  <c r="A831" i="13" a="1"/>
  <c r="A1151" i="12" a="1"/>
  <c r="A808" i="12" a="1"/>
  <c r="A158" i="13" a="1"/>
  <c r="A812" i="14" a="1"/>
  <c r="A72" i="14" a="1"/>
  <c r="A299" i="13" a="1"/>
  <c r="A704" i="14" a="1"/>
  <c r="A954" i="14" a="1"/>
  <c r="A556" i="13" a="1"/>
  <c r="A584" i="12" a="1"/>
  <c r="A937" i="12" a="1"/>
  <c r="A964" i="12" a="1"/>
  <c r="A341" i="14" a="1"/>
  <c r="A634" i="13" a="1"/>
  <c r="A912" i="12" a="1"/>
  <c r="A1091" i="12" a="1"/>
  <c r="A1008" i="14" a="1"/>
  <c r="A1333" i="12" a="1"/>
  <c r="A95" i="12" a="1"/>
  <c r="A924" i="14" a="1"/>
  <c r="A1120" i="12" a="1"/>
  <c r="A150" i="12" a="1"/>
  <c r="A810" i="14" a="1"/>
  <c r="A1063" i="13" a="1"/>
  <c r="A1105" i="13" a="1"/>
  <c r="A876" i="13" a="1"/>
  <c r="A309" i="13" a="1"/>
  <c r="A1035" i="14" a="1"/>
  <c r="A988" i="13" a="1"/>
  <c r="A863" i="14" a="1"/>
  <c r="A980" i="13" a="1"/>
  <c r="A426" i="13" a="1"/>
  <c r="A1209" i="12" a="1"/>
  <c r="A821" i="12" a="1"/>
  <c r="A1097" i="13" a="1"/>
  <c r="A764" i="13" a="1"/>
  <c r="A1191" i="14" a="1"/>
  <c r="A62" i="12" a="1"/>
  <c r="A1022" i="14" a="1"/>
  <c r="A372" i="13" a="1"/>
  <c r="A133" i="12" a="1"/>
  <c r="A159" i="13" a="1"/>
  <c r="A1001" i="14" a="1"/>
  <c r="A193" i="12" a="1"/>
  <c r="A1120" i="13" a="1"/>
  <c r="A1343" i="12" a="1"/>
  <c r="A1206" i="12" a="1"/>
  <c r="A866" i="14" a="1"/>
  <c r="A931" i="14" a="1"/>
  <c r="A1031" i="13" a="1"/>
  <c r="A529" i="14" a="1"/>
  <c r="A534" i="12" a="1"/>
  <c r="A856" i="12" a="1"/>
  <c r="A929" i="12" a="1"/>
  <c r="A72" i="13" a="1"/>
  <c r="A1135" i="13" a="1"/>
  <c r="A405" i="12" a="1"/>
  <c r="A431" i="14" a="1"/>
  <c r="A338" i="12" a="1"/>
  <c r="A1338" i="12" a="1"/>
  <c r="A329" i="14" a="1"/>
  <c r="A538" i="12" a="1"/>
  <c r="A691" i="12" a="1"/>
  <c r="A1270" i="14" a="1"/>
  <c r="A316" i="14" a="1"/>
  <c r="A841" i="13" a="1"/>
  <c r="A110" i="14" a="1"/>
  <c r="A424" i="12" a="1"/>
  <c r="A799" i="14" a="1"/>
  <c r="A555" i="12" a="1"/>
  <c r="A1045" i="13" a="1"/>
  <c r="A741" i="14" a="1"/>
  <c r="A608" i="12" a="1"/>
  <c r="A422" i="13" a="1"/>
  <c r="A383" i="12" a="1"/>
  <c r="A755" i="13" a="1"/>
  <c r="A604" i="12" a="1"/>
  <c r="A210" i="14" a="1"/>
  <c r="A756" i="13" a="1"/>
  <c r="A185" i="12" a="1"/>
  <c r="A63" i="12" a="1"/>
  <c r="A887" i="14" a="1"/>
  <c r="A105" i="12" a="1"/>
  <c r="A993" i="12" a="1"/>
  <c r="A287" i="12" a="1"/>
  <c r="A866" i="12" a="1"/>
  <c r="A1314" i="14" a="1"/>
  <c r="A780" i="13" a="1"/>
  <c r="A776" i="12" a="1"/>
  <c r="A1133" i="14" a="1"/>
  <c r="A651" i="13" a="1"/>
  <c r="A1220" i="14" a="1"/>
  <c r="A1122" i="14" a="1"/>
  <c r="A1171" i="13" a="1"/>
  <c r="A1117" i="13" a="1"/>
  <c r="A892" i="14" a="1"/>
  <c r="A1256" i="14" a="1"/>
  <c r="A356" i="12" a="1"/>
  <c r="A320" i="12" a="1"/>
  <c r="A684" i="14" a="1"/>
  <c r="A439" i="14" a="1"/>
  <c r="A114" i="12" a="1"/>
  <c r="A220" i="14" a="1"/>
  <c r="A1181" i="14" a="1"/>
  <c r="A481" i="14" a="1"/>
  <c r="A712" i="13" a="1"/>
  <c r="A559" i="12" a="1"/>
  <c r="A950" i="14" a="1"/>
  <c r="A124" i="14" a="1"/>
  <c r="A837" i="13" a="1"/>
  <c r="A795" i="13" a="1"/>
  <c r="A149" i="13" a="1"/>
  <c r="A484" i="12" a="1"/>
  <c r="A1318" i="14" a="1"/>
  <c r="A1024" i="13" a="1"/>
  <c r="A847" i="12" a="1"/>
  <c r="A1212" i="13" a="1"/>
  <c r="A451" i="13" a="1"/>
  <c r="A809" i="13" a="1"/>
  <c r="A858" i="12" a="1"/>
  <c r="A233" i="12" a="1"/>
  <c r="A1171" i="14" a="1"/>
  <c r="A39" i="12" a="1"/>
  <c r="A684" i="13" a="1"/>
  <c r="A643" i="13" a="1"/>
  <c r="A1270" i="13" a="1"/>
  <c r="A625" i="13" a="1"/>
  <c r="A1045" i="12" a="1"/>
  <c r="A992" i="14" a="1"/>
  <c r="A796" i="14" a="1"/>
  <c r="A293" i="14" a="1"/>
  <c r="A1100" i="12" a="1"/>
  <c r="A680" i="14" a="1"/>
  <c r="A170" i="12" a="1"/>
  <c r="A713" i="13" a="1"/>
  <c r="A826" i="14" a="1"/>
  <c r="A375" i="14" a="1"/>
  <c r="A92" i="14" a="1"/>
  <c r="A958" i="13" a="1"/>
  <c r="A1037" i="14" a="1"/>
  <c r="A566" i="14" a="1"/>
  <c r="A1106" i="14" a="1"/>
  <c r="A279" i="13" a="1"/>
  <c r="A189" i="12" a="1"/>
  <c r="A720" i="12" a="1"/>
  <c r="A29" i="13" a="1"/>
  <c r="A249" i="14" a="1"/>
  <c r="A1326" i="14" a="1"/>
  <c r="A1246" i="12" a="1"/>
  <c r="A370" i="13" a="1"/>
  <c r="A1155" i="13" a="1"/>
  <c r="A535" i="13" a="1"/>
  <c r="A330" i="14" a="1"/>
  <c r="A1012" i="14" a="1"/>
  <c r="A874" i="12" a="1"/>
  <c r="A1339" i="12" a="1"/>
  <c r="A295" i="12" a="1"/>
  <c r="A772" i="12" a="1"/>
  <c r="A129" i="14" a="1"/>
  <c r="A433" i="13" a="1"/>
  <c r="A1320" i="14" a="1"/>
  <c r="A296" i="14" a="1"/>
  <c r="A1210" i="12" a="1"/>
  <c r="A1268" i="14" a="1"/>
  <c r="A462" i="13" a="1"/>
  <c r="A1076" i="13" a="1"/>
  <c r="A1255" i="12" a="1"/>
  <c r="A139" i="13" a="1"/>
  <c r="A821" i="14" a="1"/>
  <c r="A325" i="14" a="1"/>
  <c r="A1245" i="14" a="1"/>
  <c r="A768" i="13" a="1"/>
  <c r="A239" i="14" a="1"/>
  <c r="A1260" i="13" a="1"/>
  <c r="A187" i="13" a="1"/>
  <c r="A224" i="12" a="1"/>
  <c r="A1218" i="14" a="1"/>
  <c r="A254" i="12" a="1"/>
  <c r="A883" i="14" a="1"/>
  <c r="A38" i="12" a="1"/>
  <c r="A906" i="14" a="1"/>
  <c r="A1334" i="14" a="1"/>
  <c r="A981" i="14" a="1"/>
  <c r="A1224" i="12" a="1"/>
  <c r="A1117" i="12" a="1"/>
  <c r="A520" i="14" a="1"/>
  <c r="A795" i="14" a="1"/>
  <c r="A688" i="13" a="1"/>
  <c r="A1151" i="14" a="1"/>
  <c r="A746" i="13" a="1"/>
  <c r="A506" i="12" a="1"/>
  <c r="A1172" i="12" a="1"/>
  <c r="A599" i="13" a="1"/>
  <c r="A308" i="12" a="1"/>
  <c r="A906" i="12" a="1"/>
  <c r="A960" i="12" a="1"/>
  <c r="A441" i="14" a="1"/>
  <c r="A672" i="13" a="1"/>
  <c r="A421" i="12" a="1"/>
  <c r="A1000" i="13" a="1"/>
  <c r="A772" i="14" a="1"/>
  <c r="A1284" i="12" a="1"/>
  <c r="A812" i="13" a="1"/>
  <c r="A5" i="14" a="1"/>
  <c r="A166" i="12" a="1"/>
  <c r="A999" i="13" a="1"/>
  <c r="A810" i="13" a="1"/>
  <c r="A838" i="13" a="1"/>
  <c r="A509" i="12" a="1"/>
  <c r="A774" i="13" a="1"/>
  <c r="A1334" i="13" a="1"/>
  <c r="A356" i="14" a="1"/>
  <c r="A214" i="14" a="1"/>
  <c r="A310" i="13" a="1"/>
  <c r="A9" i="14" a="1"/>
  <c r="A1142" i="12" a="1"/>
  <c r="A1258" i="13" a="1"/>
  <c r="A470" i="12" a="1"/>
  <c r="A774" i="14" a="1"/>
  <c r="A1006" i="13" a="1"/>
  <c r="A667" i="13" a="1"/>
  <c r="A899" i="13" a="1"/>
  <c r="A746" i="14" a="1"/>
  <c r="A1280" i="12" a="1"/>
  <c r="A405" i="13" a="1"/>
  <c r="A331" i="13" a="1"/>
  <c r="A593" i="14" a="1"/>
  <c r="A51" i="12" a="1"/>
  <c r="A806" i="14" a="1"/>
  <c r="A1267" i="12" a="1"/>
  <c r="A764" i="14" a="1"/>
  <c r="A167" i="12" a="1"/>
  <c r="A914" i="12" a="1"/>
  <c r="A735" i="14" a="1"/>
  <c r="A183" i="13" a="1"/>
  <c r="A1222" i="14" a="1"/>
  <c r="A56" i="13" a="1"/>
  <c r="A310" i="14" a="1"/>
  <c r="A180" i="13" a="1"/>
  <c r="A1331" i="13" a="1"/>
  <c r="A1200" i="12" a="1"/>
  <c r="A1267" i="14" a="1"/>
  <c r="A1166" i="12" a="1"/>
  <c r="A708" i="12" a="1"/>
  <c r="A534" i="14" a="1"/>
  <c r="A614" i="13" a="1"/>
  <c r="A18" i="14" a="1"/>
  <c r="A16" i="13" a="1"/>
  <c r="A429" i="12" a="1"/>
  <c r="A1197" i="14" a="1"/>
  <c r="A491" i="12" a="1"/>
  <c r="A681" i="13" a="1"/>
  <c r="A193" i="13" a="1"/>
  <c r="A197" i="12" a="1"/>
  <c r="A901" i="14" a="1"/>
  <c r="A1159" i="13" a="1"/>
  <c r="A776" i="14" a="1"/>
  <c r="A1280" i="13" a="1"/>
  <c r="A929" i="14" a="1"/>
  <c r="A462" i="14" a="1"/>
  <c r="A843" i="13" a="1"/>
  <c r="A1104" i="12" a="1"/>
  <c r="A997" i="13" a="1"/>
  <c r="A129" i="13" a="1"/>
  <c r="A116" i="14" a="1"/>
  <c r="A139" i="14" a="1"/>
  <c r="A760" i="14" a="1"/>
  <c r="A579" i="12" a="1"/>
  <c r="A1070" i="14" a="1"/>
  <c r="A714" i="12" a="1"/>
  <c r="A1067" i="12" a="1"/>
  <c r="A238" i="14" a="1"/>
  <c r="A671" i="14" a="1"/>
  <c r="A24" i="12" a="1"/>
  <c r="A791" i="14" a="1"/>
  <c r="A1067" i="13" a="1"/>
  <c r="A116" i="13" a="1"/>
  <c r="A1163" i="14" a="1"/>
  <c r="A1035" i="13" a="1"/>
  <c r="A947" i="13" a="1"/>
  <c r="A1246" i="14" a="1"/>
  <c r="A1018" i="12" a="1"/>
  <c r="A654" i="12" a="1"/>
  <c r="A542" i="14" a="1"/>
  <c r="A333" i="14" a="1"/>
  <c r="A1285" i="14" a="1"/>
  <c r="A67" i="13" a="1"/>
  <c r="A1087" i="12" a="1"/>
  <c r="A610" i="12" a="1"/>
  <c r="A804" i="14" a="1"/>
  <c r="A1247" i="14" a="1"/>
  <c r="A384" i="12" a="1"/>
  <c r="A513" i="13" a="1"/>
  <c r="A1064" i="12" a="1"/>
  <c r="A1170" i="12" a="1"/>
  <c r="A408" i="12" a="1"/>
  <c r="A1191" i="12" a="1"/>
  <c r="A554" i="12" a="1"/>
  <c r="A616" i="13" a="1"/>
  <c r="A880" i="13" a="1"/>
  <c r="A146" i="13" a="1"/>
  <c r="A121" i="12" a="1"/>
  <c r="A1295" i="12" a="1"/>
  <c r="A633" i="13" a="1"/>
  <c r="A339" i="13" a="1"/>
  <c r="A705" i="12" a="1"/>
  <c r="A374" i="12" a="1"/>
  <c r="A1289" i="14" a="1"/>
  <c r="A1135" i="12" a="1"/>
  <c r="A1001" i="12" a="1"/>
  <c r="A946" i="13" a="1"/>
  <c r="A895" i="13" a="1"/>
  <c r="A417" i="12" a="1"/>
  <c r="A670" i="14" a="1"/>
  <c r="A846" i="13" a="1"/>
  <c r="A742" i="13" a="1"/>
  <c r="A114" i="14" a="1"/>
  <c r="A816" i="12" a="1"/>
  <c r="A433" i="14" a="1"/>
  <c r="A568" i="13" a="1"/>
  <c r="A126" i="13" a="1"/>
  <c r="A345" i="12" a="1"/>
  <c r="A442" i="13" a="1"/>
  <c r="A1051" i="13" a="1"/>
  <c r="A571" i="13" a="1"/>
  <c r="A108" i="13" a="1"/>
  <c r="A25" i="13" a="1"/>
  <c r="A1039" i="14" a="1"/>
  <c r="A1109" i="13" a="1"/>
  <c r="A70" i="12" a="1"/>
  <c r="A1074" i="12" a="1"/>
  <c r="A299" i="12" a="1"/>
  <c r="A896" i="13" a="1"/>
  <c r="A58" i="12" a="1"/>
  <c r="A976" i="12" a="1"/>
  <c r="A251" i="14" a="1"/>
  <c r="A1321" i="14" a="1"/>
  <c r="A696" i="12" a="1"/>
  <c r="A572" i="13" a="1"/>
  <c r="A543" i="14" a="1"/>
  <c r="A1085" i="13" a="1"/>
  <c r="A685" i="14" a="1"/>
  <c r="A725" i="13" a="1"/>
  <c r="A1289" i="12" a="1"/>
  <c r="A797" i="12" a="1"/>
  <c r="A314" i="14" a="1"/>
  <c r="A966" i="14" a="1"/>
  <c r="A639" i="14" a="1"/>
  <c r="A1058" i="12" a="1"/>
  <c r="A822" i="13" a="1"/>
  <c r="A937" i="14" a="1"/>
  <c r="A25" i="12" a="1"/>
  <c r="A1058" i="13" a="1"/>
  <c r="A897" i="13" a="1"/>
  <c r="A1256" i="13" a="1"/>
  <c r="A522" i="12" a="1"/>
  <c r="A1274" i="14" a="1"/>
  <c r="A585" i="14" a="1"/>
  <c r="A213" i="13" a="1"/>
  <c r="A1147" i="12" a="1"/>
  <c r="A84" i="13" a="1"/>
  <c r="A1056" i="13" a="1"/>
  <c r="A293" i="12" a="1"/>
  <c r="A156" i="13" a="1"/>
  <c r="A1150" i="13" a="1"/>
  <c r="A1072" i="13" a="1"/>
  <c r="A1346" i="13" a="1"/>
  <c r="A663" i="14" a="1"/>
  <c r="A162" i="13" a="1"/>
  <c r="A1291" i="13" a="1"/>
  <c r="A292" i="14" a="1"/>
  <c r="A1195" i="12" a="1"/>
  <c r="A584" i="14" a="1"/>
  <c r="A200" i="13" a="1"/>
  <c r="A42" i="12" a="1"/>
  <c r="A510" i="13" a="1"/>
  <c r="A6" i="12" a="1"/>
  <c r="A658" i="12" a="1"/>
  <c r="A113" i="14" a="1"/>
  <c r="A1188" i="12" a="1"/>
  <c r="A492" i="14" a="1"/>
  <c r="A479" i="12" a="1"/>
  <c r="A543" i="12" a="1"/>
  <c r="A1125" i="12" a="1"/>
  <c r="A284" i="12" a="1"/>
  <c r="A513" i="12" a="1"/>
  <c r="A1192" i="12" a="1"/>
  <c r="A1014" i="14" a="1"/>
  <c r="A1179" i="13" a="1"/>
  <c r="A593" i="13" a="1"/>
  <c r="A246" i="12" a="1"/>
  <c r="A720" i="13" a="1"/>
  <c r="A1029" i="14" a="1"/>
  <c r="A674" i="14" a="1"/>
  <c r="A1016" i="13" a="1"/>
  <c r="A474" i="13" a="1"/>
  <c r="A225" i="13" a="1"/>
  <c r="A359" i="12" a="1"/>
  <c r="A539" i="12" a="1"/>
  <c r="A430" i="12" a="1"/>
  <c r="A606" i="12" a="1"/>
  <c r="A763" i="14" a="1"/>
  <c r="A720" i="14" a="1"/>
  <c r="A1250" i="13" a="1"/>
  <c r="A110" i="12" a="1"/>
  <c r="A1012" i="13" a="1"/>
  <c r="A776" i="13" a="1"/>
  <c r="A1043" i="13" a="1"/>
  <c r="A51" i="14" a="1"/>
  <c r="A1092" i="12" a="1"/>
  <c r="A220" i="12" a="1"/>
  <c r="A1324" i="12" a="1"/>
  <c r="A922" i="14" a="1"/>
  <c r="A280" i="13" a="1"/>
  <c r="A433" i="12" a="1"/>
  <c r="A825" i="12" a="1"/>
  <c r="A1067" i="14" a="1"/>
  <c r="A6" i="13" a="1"/>
  <c r="A987" i="13" a="1"/>
  <c r="A976" i="13" a="1"/>
  <c r="A999" i="12" a="1"/>
  <c r="A1321" i="13" a="1"/>
  <c r="A1071" i="12" a="1"/>
  <c r="A1229" i="13" a="1"/>
  <c r="A884" i="12" a="1"/>
  <c r="A1033" i="13" a="1"/>
  <c r="A667" i="14" a="1"/>
  <c r="A1026" i="14" a="1"/>
  <c r="A963" i="14" a="1"/>
  <c r="A349" i="14" a="1"/>
  <c r="A1337" i="13" a="1"/>
  <c r="A42" i="13" a="1"/>
  <c r="A508" i="12" a="1"/>
  <c r="A966" i="12" a="1"/>
  <c r="A210" i="12" a="1"/>
  <c r="A1137" i="13" a="1"/>
  <c r="A613" i="13" a="1"/>
  <c r="A1159" i="14" a="1"/>
  <c r="A1351" i="13" a="1"/>
  <c r="A951" i="13" a="1"/>
  <c r="A616" i="14" a="1"/>
  <c r="A1093" i="14" a="1"/>
  <c r="A59" i="14" a="1"/>
  <c r="A1079" i="13" a="1"/>
  <c r="A717" i="13" a="1"/>
  <c r="A81" i="12" a="1"/>
  <c r="A260" i="14" a="1"/>
  <c r="A885" i="12" a="1"/>
  <c r="A60" i="14" a="1"/>
  <c r="A833" i="12" a="1"/>
  <c r="A267" i="12" a="1"/>
  <c r="A762" i="13" a="1"/>
  <c r="A1043" i="14" a="1"/>
  <c r="A922" i="12" a="1"/>
  <c r="A172" i="14" a="1"/>
  <c r="A924" i="12" a="1"/>
  <c r="A850" i="13" a="1"/>
  <c r="A796" i="13" a="1"/>
  <c r="A196" i="12" a="1"/>
  <c r="A239" i="12" a="1"/>
  <c r="A245" i="13" a="1"/>
  <c r="A618" i="13" a="1"/>
  <c r="A109" i="14" a="1"/>
  <c r="A739" i="13" a="1"/>
  <c r="A395" i="14" a="1"/>
  <c r="A8" i="14" a="1"/>
  <c r="A29" i="12" a="1"/>
  <c r="A650" i="13" a="1"/>
  <c r="A125" i="12" a="1"/>
  <c r="A1233" i="14" a="1"/>
  <c r="A112" i="12" a="1"/>
  <c r="A170" i="13" a="1"/>
  <c r="A746" i="12" a="1"/>
  <c r="A593" i="12" a="1"/>
  <c r="A851" i="13" a="1"/>
  <c r="A1295" i="13" a="1"/>
  <c r="A566" i="13" a="1"/>
  <c r="A495" i="12" a="1"/>
  <c r="A500" i="12" a="1"/>
  <c r="A1170" i="14" a="1"/>
  <c r="A1088" i="14" a="1"/>
  <c r="A516" i="13" a="1"/>
  <c r="A956" i="12" a="1"/>
  <c r="A117" i="14" a="1"/>
  <c r="A960" i="14" a="1"/>
  <c r="A808" i="13" a="1"/>
  <c r="A531" i="12" a="1"/>
  <c r="A570" i="13" a="1"/>
  <c r="A1305" i="14" a="1"/>
  <c r="A781" i="12" a="1"/>
  <c r="A301" i="13" a="1"/>
  <c r="A1106" i="13" a="1"/>
  <c r="A375" i="12" a="1"/>
  <c r="A630" i="12" a="1"/>
  <c r="A530" i="14" a="1"/>
  <c r="A747" i="14" a="1"/>
  <c r="A1325" i="13" a="1"/>
  <c r="A238" i="13" a="1"/>
  <c r="A209" i="14" a="1"/>
  <c r="A101" i="13" a="1"/>
  <c r="A1285" i="12" a="1"/>
  <c r="A941" i="12" a="1"/>
  <c r="A409" i="12" a="1"/>
  <c r="A906" i="13" a="1"/>
  <c r="A730" i="13" a="1"/>
  <c r="A629" i="12" a="1"/>
  <c r="A614" i="14" a="1"/>
  <c r="A205" i="12" a="1"/>
  <c r="A1074" i="13" a="1"/>
  <c r="A634" i="14" a="1"/>
  <c r="A292" i="12" a="1"/>
  <c r="A76" i="13" a="1"/>
  <c r="A735" i="13" a="1"/>
  <c r="A649" i="13" a="1"/>
  <c r="A875" i="12" a="1"/>
  <c r="A1316" i="14" a="1"/>
  <c r="A1130" i="14" a="1"/>
  <c r="A1210" i="13" a="1"/>
  <c r="A1217" i="13" a="1"/>
  <c r="A854" i="13" a="1"/>
  <c r="A601" i="14" a="1"/>
  <c r="A343" i="12" a="1"/>
  <c r="A1239" i="13" a="1"/>
  <c r="A1325" i="12" a="1"/>
  <c r="A899" i="12" a="1"/>
  <c r="A696" i="14" a="1"/>
  <c r="A564" i="12" a="1"/>
  <c r="A739" i="14" a="1"/>
  <c r="A989" i="13" a="1"/>
  <c r="A134" i="12" a="1"/>
  <c r="A1296" i="12" a="1"/>
  <c r="A1191" i="13" a="1"/>
  <c r="A650" i="14" a="1"/>
  <c r="A250" i="12" a="1"/>
  <c r="A1183" i="13" a="1"/>
  <c r="A1296" i="14" a="1"/>
  <c r="A791" i="12" a="1"/>
  <c r="A1300" i="13" a="1"/>
  <c r="A14" i="13" a="1"/>
  <c r="A541" i="14" a="1"/>
  <c r="A551" i="14" a="1"/>
  <c r="A764" i="12" a="1"/>
  <c r="A759" i="13" a="1"/>
  <c r="A530" i="12" a="1"/>
  <c r="A967" i="12" a="1"/>
  <c r="A984" i="13" a="1"/>
  <c r="A562" i="13" a="1"/>
  <c r="A346" i="13" a="1"/>
  <c r="A1134" i="13" a="1"/>
  <c r="A763" i="12" a="1"/>
  <c r="A780" i="12" a="1"/>
  <c r="A566" i="12" a="1"/>
  <c r="A1324" i="13" a="1"/>
  <c r="A1055" i="14" a="1"/>
  <c r="A1138" i="12" a="1"/>
  <c r="A206" i="14" a="1"/>
  <c r="A1281" i="12" a="1"/>
  <c r="A180" i="14" a="1"/>
  <c r="A726" i="13" a="1"/>
  <c r="A1185" i="13" a="1"/>
  <c r="A918" i="14" a="1"/>
  <c r="A962" i="14" a="1"/>
  <c r="A1050" i="14" a="1"/>
  <c r="A1172" i="13" a="1"/>
  <c r="A1283" i="12" a="1"/>
  <c r="A264" i="13" a="1"/>
  <c r="A651" i="12" a="1"/>
  <c r="A949" i="14" a="1"/>
  <c r="A1026" i="13" a="1"/>
  <c r="A218" i="12" a="1"/>
  <c r="A980" i="12" a="1"/>
  <c r="A820" i="13" a="1"/>
  <c r="A605" i="12" a="1"/>
  <c r="A1193" i="12" a="1"/>
  <c r="A450" i="12" a="1"/>
  <c r="A259" i="14" a="1"/>
  <c r="A71" i="13" a="1"/>
  <c r="A788" i="13" a="1"/>
  <c r="A184" i="12" a="1"/>
  <c r="A870" i="12" a="1"/>
  <c r="A931" i="12" a="1"/>
  <c r="A1216" i="13" a="1"/>
  <c r="A717" i="12" a="1"/>
  <c r="A684" i="12" a="1"/>
  <c r="A942" i="12" a="1"/>
  <c r="A1139" i="14" a="1"/>
  <c r="A472" i="14" a="1"/>
  <c r="A510" i="14" a="1"/>
  <c r="A360" i="14" a="1"/>
  <c r="A929" i="13" a="1"/>
  <c r="A485" i="13" a="1"/>
  <c r="A1235" i="13" a="1"/>
  <c r="A597" i="13" a="1"/>
  <c r="A1071" i="13" a="1"/>
  <c r="A166" i="14" a="1"/>
  <c r="A751" i="13" a="1"/>
  <c r="A968" i="12" a="1"/>
  <c r="A1066" i="13" a="1"/>
  <c r="A345" i="14" a="1"/>
  <c r="A360" i="13" a="1"/>
  <c r="A443" i="14" a="1"/>
  <c r="A895" i="12" a="1"/>
  <c r="A1049" i="12" a="1"/>
  <c r="A980" i="14" a="1"/>
  <c r="A314" i="12" a="1"/>
  <c r="A238" i="12" a="1"/>
  <c r="A226" i="14" a="1"/>
  <c r="A243" i="13" a="1"/>
  <c r="A1056" i="12" a="1"/>
  <c r="A938" i="12" a="1"/>
  <c r="A413" i="13" a="1"/>
  <c r="A984" i="14" a="1"/>
  <c r="A1021" i="12" a="1"/>
  <c r="A824" i="14" a="1"/>
  <c r="A229" i="13" a="1"/>
  <c r="A1229" i="12" a="1"/>
  <c r="A92" i="13" a="1"/>
  <c r="A1055" i="12" a="1"/>
  <c r="A700" i="12" a="1"/>
  <c r="A492" i="12" a="1"/>
  <c r="A362" i="12" a="1"/>
  <c r="A712" i="12" a="1"/>
  <c r="A1084" i="13" a="1"/>
  <c r="A917" i="14" a="1"/>
  <c r="A218" i="13" a="1"/>
  <c r="A1116" i="14" a="1"/>
  <c r="A533" i="14" a="1"/>
  <c r="A241" i="14" a="1"/>
  <c r="A787" i="12" a="1"/>
  <c r="A793" i="14" a="1"/>
  <c r="A1113" i="14" a="1"/>
  <c r="A418" i="12" a="1"/>
  <c r="A366" i="13" a="1"/>
  <c r="A729" i="14" a="1"/>
  <c r="A231" i="14" a="1"/>
  <c r="A47" i="14" a="1"/>
  <c r="A272" i="14" a="1"/>
  <c r="A1118" i="13" a="1"/>
  <c r="A272" i="13" a="1"/>
  <c r="A447" i="14" a="1"/>
  <c r="A13" i="14" a="1"/>
  <c r="A705" i="14" a="1"/>
  <c r="A1010" i="13" a="1"/>
  <c r="A718" i="12" a="1"/>
  <c r="A567" i="12" a="1"/>
  <c r="A618" i="14" a="1"/>
  <c r="A126" i="14" a="1"/>
  <c r="A576" i="12" a="1"/>
  <c r="A826" i="13" a="1"/>
  <c r="A188" i="13" a="1"/>
  <c r="A1304" i="14" a="1"/>
  <c r="A401" i="13" a="1"/>
  <c r="A1230" i="14" a="1"/>
  <c r="A234" i="12" a="1"/>
  <c r="A459" i="14" a="1"/>
  <c r="A658" i="13" a="1"/>
  <c r="A626" i="12" a="1"/>
  <c r="A600" i="13" a="1"/>
  <c r="A1079" i="14" a="1"/>
  <c r="A230" i="13" a="1"/>
  <c r="A595" i="13" a="1"/>
  <c r="A591" i="12" a="1"/>
  <c r="A258" i="12" a="1"/>
  <c r="A305" i="13" a="1"/>
  <c r="A384" i="14" a="1"/>
  <c r="A734" i="12" a="1"/>
  <c r="A501" i="14" a="1"/>
  <c r="A631" i="14" a="1"/>
  <c r="A745" i="12" a="1"/>
  <c r="A367" i="12" a="1"/>
  <c r="A1214" i="13" a="1"/>
  <c r="A1325" i="14" a="1"/>
  <c r="A1162" i="14" a="1"/>
  <c r="A251" i="12" a="1"/>
  <c r="A1275" i="14" a="1"/>
  <c r="A1297" i="13" a="1"/>
  <c r="A517" i="12" a="1"/>
  <c r="A317" i="13" a="1"/>
  <c r="A1234" i="13" a="1"/>
  <c r="A1347" i="13" a="1"/>
  <c r="A271" i="12" a="1"/>
  <c r="A1287" i="14" a="1"/>
  <c r="A396" i="13" a="1"/>
  <c r="A1042" i="12" a="1"/>
  <c r="A413" i="12" a="1"/>
  <c r="A1141" i="12" a="1"/>
  <c r="A479" i="13" a="1"/>
  <c r="A729" i="12" a="1"/>
  <c r="A380" i="14" a="1"/>
  <c r="A49" i="14" a="1"/>
  <c r="A1247" i="12" a="1"/>
  <c r="A1308" i="12" a="1"/>
  <c r="A881" i="12" a="1"/>
  <c r="A200" i="12" a="1"/>
  <c r="A512" i="12" a="1"/>
  <c r="A355" i="13" a="1"/>
  <c r="A271" i="14" a="1"/>
  <c r="A34" i="12" a="1"/>
  <c r="A1095" i="13" a="1"/>
  <c r="A610" i="14" a="1"/>
  <c r="A1118" i="14" a="1"/>
  <c r="A455" i="14" a="1"/>
  <c r="A1209" i="13" a="1"/>
  <c r="A1029" i="13" a="1"/>
  <c r="A509" i="14" a="1"/>
  <c r="A880" i="14" a="1"/>
  <c r="A283" i="12" a="1"/>
  <c r="A179" i="14" a="1"/>
  <c r="A716" i="14" a="1"/>
  <c r="A1047" i="14" a="1"/>
  <c r="A901" i="12" a="1"/>
  <c r="A176" i="12" a="1"/>
  <c r="A842" i="12" a="1"/>
  <c r="A1145" i="13" a="1"/>
  <c r="A405" i="14" a="1"/>
  <c r="A146" i="14" a="1"/>
  <c r="A643" i="14" a="1"/>
  <c r="A1279" i="14" a="1"/>
  <c r="A1196" i="13" a="1"/>
  <c r="A943" i="14" a="1"/>
  <c r="A1051" i="12" a="1"/>
  <c r="A458" i="14" a="1"/>
  <c r="A897" i="12" a="1"/>
  <c r="A206" i="13" a="1"/>
  <c r="A505" i="12" a="1"/>
  <c r="A518" i="13" a="1"/>
  <c r="A1101" i="12" a="1"/>
  <c r="A1313" i="12" a="1"/>
  <c r="A54" i="14" a="1"/>
  <c r="A646" i="14" a="1"/>
  <c r="A946" i="12" a="1"/>
  <c r="A226" i="13" a="1"/>
  <c r="A784" i="14" a="1"/>
  <c r="A789" i="12" a="1"/>
  <c r="A281" i="13" a="1"/>
  <c r="A635" i="14" a="1"/>
  <c r="A1237" i="12" a="1"/>
  <c r="A1322" i="14" a="1"/>
  <c r="A20" i="13" a="1"/>
  <c r="A1324" i="14" a="1"/>
  <c r="A959" i="12" a="1"/>
  <c r="A837" i="12" a="1"/>
  <c r="A121" i="14" a="1"/>
  <c r="A575" i="12" a="1"/>
  <c r="A75" i="13" a="1"/>
  <c r="A264" i="14" a="1"/>
  <c r="A868" i="13" a="1"/>
  <c r="A749" i="14" a="1"/>
  <c r="A301" i="14" a="1"/>
  <c r="A1150" i="12" a="1"/>
  <c r="A762" i="14" a="1"/>
  <c r="A514" i="12" a="1"/>
  <c r="A1247" i="13" a="1"/>
  <c r="A1174" i="13" a="1"/>
  <c r="A162" i="12" a="1"/>
  <c r="A935" i="12" a="1"/>
  <c r="A695" i="12" a="1"/>
  <c r="A5" i="13" a="1"/>
  <c r="A541" i="12" a="1"/>
  <c r="A638" i="13" a="1"/>
  <c r="A1199" i="12" a="1"/>
  <c r="A1160" i="12" a="1"/>
  <c r="A1108" i="14" a="1"/>
  <c r="A768" i="14" a="1"/>
  <c r="A1310" i="14" a="1"/>
  <c r="A1281" i="13" a="1"/>
  <c r="A454" i="14" a="1"/>
  <c r="A1000" i="12" a="1"/>
  <c r="A1146" i="12" a="1"/>
  <c r="A276" i="14" a="1"/>
  <c r="A209" i="13" a="1"/>
  <c r="A1291" i="14" a="1"/>
  <c r="A1305" i="13" a="1"/>
  <c r="A1225" i="14" a="1"/>
  <c r="A88" i="14" a="1"/>
  <c r="A1092" i="13" a="1"/>
  <c r="A374" i="13" a="1"/>
  <c r="A1088" i="13" a="1"/>
  <c r="A151" i="14" a="1"/>
  <c r="A416" i="12" a="1"/>
  <c r="A1096" i="14" a="1"/>
  <c r="A308" i="13" a="1"/>
  <c r="A464" i="12" a="1"/>
  <c r="A559" i="14" a="1"/>
  <c r="A758" i="13" a="1"/>
  <c r="A647" i="14" a="1"/>
  <c r="A1337" i="14" a="1"/>
  <c r="A955" i="13" a="1"/>
  <c r="A606" i="13" a="1"/>
  <c r="A81" i="14" a="1"/>
  <c r="A196" i="14" a="1"/>
  <c r="A1262" i="13" a="1"/>
  <c r="A180" i="12" a="1"/>
  <c r="A1030" i="12" a="1"/>
  <c r="A1176" i="14" a="1"/>
  <c r="A392" i="13" a="1"/>
  <c r="A701" i="12" a="1"/>
  <c r="A171" i="13" a="1"/>
  <c r="A716" i="13" a="1"/>
  <c r="A581" i="12" a="1"/>
  <c r="A1013" i="13" a="1"/>
  <c r="A125" i="13" a="1"/>
  <c r="A1180" i="14" a="1"/>
  <c r="A996" i="13" a="1"/>
  <c r="A799" i="12" a="1"/>
  <c r="A135" i="12" a="1"/>
  <c r="A172" i="13" a="1"/>
  <c r="A1160" i="13" a="1"/>
  <c r="A817" i="14" a="1"/>
  <c r="A168" i="12" a="1"/>
  <c r="A1112" i="12" a="1"/>
  <c r="A326" i="12" a="1"/>
  <c r="A317" i="14" a="1"/>
  <c r="A80" i="13" a="1"/>
  <c r="A1171" i="12" a="1"/>
  <c r="A839" i="14" a="1"/>
  <c r="A217" i="13" a="1"/>
  <c r="A116" i="12" a="1"/>
  <c r="A1054" i="12" a="1"/>
  <c r="A1222" i="12" a="1"/>
  <c r="A1181" i="12" a="1"/>
  <c r="A471" i="14" a="1"/>
  <c r="A926" i="14" a="1"/>
  <c r="A530" i="13" a="1"/>
  <c r="A131" i="13" a="1"/>
  <c r="A967" i="14" a="1"/>
  <c r="A895" i="14" a="1"/>
  <c r="A270" i="12" a="1"/>
  <c r="A714" i="13" a="1"/>
  <c r="A876" i="14" a="1"/>
  <c r="A991" i="12" a="1"/>
  <c r="A1330" i="12" a="1"/>
  <c r="A1197" i="12" a="1"/>
  <c r="A246" i="14" a="1"/>
  <c r="A397" i="13" a="1"/>
  <c r="A147" i="12" a="1"/>
  <c r="A1197" i="13" a="1"/>
  <c r="A1210" i="14" a="1"/>
  <c r="A142" i="13" a="1"/>
  <c r="A199" i="13" a="1"/>
  <c r="A575" i="14" a="1"/>
  <c r="A313" i="13" a="1"/>
  <c r="A404" i="13" a="1"/>
  <c r="A13" i="12" a="1"/>
  <c r="A164" i="12" a="1"/>
  <c r="A220" i="13" a="1"/>
  <c r="A970" i="12" a="1"/>
  <c r="A1146" i="13" a="1"/>
  <c r="A231" i="12" a="1"/>
  <c r="A633" i="12" a="1"/>
  <c r="A780" i="14" a="1"/>
  <c r="A933" i="13" a="1"/>
  <c r="A864" i="13" a="1"/>
  <c r="A16" i="12" a="1"/>
  <c r="A350" i="12" a="1"/>
  <c r="A351" i="12" a="1"/>
  <c r="A592" i="12" a="1"/>
  <c r="A700" i="14" a="1"/>
  <c r="A871" i="13" a="1"/>
  <c r="A792" i="13" a="1"/>
  <c r="A106" i="13" a="1"/>
  <c r="A545" i="14" a="1"/>
  <c r="A597" i="12" a="1"/>
  <c r="A50" i="13" a="1"/>
  <c r="A412" i="13" a="1"/>
  <c r="A467" i="13" a="1"/>
  <c r="A745" i="14" a="1"/>
  <c r="A1272" i="12" a="1"/>
  <c r="A179" i="13" a="1"/>
  <c r="A268" i="13" a="1"/>
  <c r="A945" i="14" a="1"/>
  <c r="A572" i="14" a="1"/>
  <c r="A431" i="13" a="1"/>
  <c r="A964" i="13" a="1"/>
  <c r="A1013" i="14" a="1"/>
  <c r="A676" i="12" a="1"/>
  <c r="A1179" i="12" a="1"/>
  <c r="A1330" i="13" a="1"/>
  <c r="A722" i="14" a="1"/>
  <c r="A1041" i="14" a="1"/>
  <c r="A1038" i="13" a="1"/>
  <c r="A818" i="14" a="1"/>
  <c r="A14" i="14" a="1"/>
  <c r="A20" i="12" a="1"/>
  <c r="A426" i="12" a="1"/>
  <c r="A33" i="14" a="1"/>
  <c r="A426" i="14" a="1"/>
  <c r="A1163" i="13" a="1"/>
  <c r="A730" i="14" a="1"/>
  <c r="A322" i="14" a="1"/>
  <c r="A1271" i="13" a="1"/>
  <c r="A1233" i="12" a="1"/>
  <c r="A4" i="14" a="1"/>
  <c r="A201" i="13" a="1"/>
  <c r="A1105" i="12" a="1"/>
  <c r="A387" i="13" a="1"/>
  <c r="A185" i="14" a="1"/>
  <c r="A847" i="14" a="1"/>
  <c r="A230" i="14" a="1"/>
  <c r="A1291" i="12" a="1"/>
  <c r="A1055" i="13" a="1"/>
  <c r="A459" i="13" a="1"/>
  <c r="A1343" i="14" a="1"/>
  <c r="A324" i="14" a="1"/>
  <c r="A435" i="12" a="1"/>
  <c r="A285" i="14" a="1"/>
  <c r="A346" i="12" a="1"/>
  <c r="A172" i="12" a="1"/>
  <c r="A1122" i="12" a="1"/>
  <c r="A714" i="14" a="1"/>
  <c r="A591" i="13" a="1"/>
  <c r="A64" i="12" a="1"/>
  <c r="A485" i="14" a="1"/>
  <c r="A721" i="14" a="1"/>
  <c r="A466" i="12" a="1"/>
  <c r="A979" i="12" a="1"/>
  <c r="A930" i="12" a="1"/>
  <c r="A1295" i="14" a="1"/>
  <c r="A629" i="14" a="1"/>
  <c r="A1280" i="14" a="1"/>
  <c r="A674" i="13" a="1"/>
  <c r="A909" i="14" a="1"/>
  <c r="A759" i="14" a="1"/>
  <c r="A464" i="14" a="1"/>
  <c r="A324" i="13" a="1"/>
  <c r="A921" i="13" a="1"/>
  <c r="A1097" i="14" a="1"/>
  <c r="A617" i="13" a="1"/>
  <c r="A805" i="12" a="1"/>
  <c r="A891" i="14" a="1"/>
  <c r="A770" i="14" a="1"/>
  <c r="A497" i="14" a="1"/>
  <c r="A955" i="14" a="1"/>
  <c r="A1185" i="14" a="1"/>
  <c r="A1087" i="13" a="1"/>
  <c r="A642" i="12" a="1"/>
  <c r="A1297" i="12" a="1"/>
  <c r="A985" i="13" a="1"/>
  <c r="A316" i="13" a="1"/>
  <c r="A46" i="14" a="1"/>
  <c r="A1305" i="12" a="1"/>
  <c r="A1342" i="12" a="1"/>
  <c r="A154" i="13" a="1"/>
  <c r="A620" i="14" a="1"/>
  <c r="A62" i="14" a="1"/>
  <c r="A459" i="12" a="1"/>
  <c r="A385" i="12" a="1"/>
  <c r="A1329" i="12" a="1"/>
  <c r="A181" i="12" a="1"/>
  <c r="A1158" i="13" a="1"/>
  <c r="A100" i="13" a="1"/>
  <c r="A538" i="14" a="1"/>
  <c r="A934" i="12" a="1"/>
  <c r="A216" i="14" a="1"/>
  <c r="A1074" i="14" a="1"/>
  <c r="A150" i="14" a="1"/>
  <c r="A443" i="12" a="1"/>
  <c r="A955" i="12" a="1"/>
  <c r="A1009" i="13" a="1"/>
  <c r="A1141" i="13" a="1"/>
  <c r="A649" i="12" a="1"/>
  <c r="A847" i="13" a="1"/>
  <c r="A41" i="12" a="1"/>
  <c r="A1075" i="14" a="1"/>
  <c r="A1060" i="12" a="1"/>
  <c r="A656" i="12" a="1"/>
  <c r="A383" i="13" a="1"/>
  <c r="A1009" i="14" a="1"/>
  <c r="A406" i="12" a="1"/>
  <c r="A476" i="13" a="1"/>
  <c r="A247" i="12" a="1"/>
  <c r="A585" i="13" a="1"/>
  <c r="A692" i="14" a="1"/>
  <c r="A381" i="13" a="1"/>
  <c r="A864" i="14" a="1"/>
  <c r="A95" i="14" a="1"/>
  <c r="A31" i="13" a="1"/>
  <c r="A381" i="14" a="1"/>
  <c r="A643" i="12" a="1"/>
  <c r="A993" i="13" a="1"/>
  <c r="A439" i="13" a="1"/>
  <c r="A156" i="12" a="1"/>
  <c r="A488" i="13" a="1"/>
  <c r="A874" i="14" a="1"/>
  <c r="A885" i="13" a="1"/>
  <c r="A891" i="12" a="1"/>
  <c r="A135" i="14" a="1"/>
  <c r="A146" i="12" a="1"/>
  <c r="A192" i="13" a="1"/>
  <c r="A213" i="14" a="1"/>
  <c r="A13" i="13" a="1"/>
  <c r="A620" i="13" a="1"/>
  <c r="A1238" i="12" a="1"/>
  <c r="A788" i="12" a="1"/>
  <c r="A1164" i="13" a="1"/>
  <c r="A124" i="13" a="1"/>
  <c r="A1196" i="14" a="1"/>
  <c r="A945" i="12" a="1"/>
  <c r="A595" i="12" a="1"/>
  <c r="A330" i="13" a="1"/>
  <c r="A1134" i="14" a="1"/>
  <c r="A463" i="14" a="1"/>
  <c r="A1266" i="13" a="1"/>
  <c r="A534" i="13" a="1"/>
  <c r="A391" i="13" a="1"/>
  <c r="A26" i="12" a="1"/>
  <c r="A213" i="12" a="1"/>
  <c r="A981" i="13" a="1"/>
  <c r="A1121" i="12" a="1"/>
  <c r="A129" i="12" a="1"/>
  <c r="A1310" i="12" a="1"/>
  <c r="A343" i="13" a="1"/>
  <c r="A766" i="14" a="1"/>
  <c r="A797" i="14" a="1"/>
  <c r="A380" i="13" a="1"/>
  <c r="A1237" i="14" a="1"/>
  <c r="A967" i="13" a="1"/>
  <c r="A849" i="12" a="1"/>
  <c r="A501" i="12" a="1"/>
  <c r="A8" i="13" a="1"/>
  <c r="A1274" i="12" a="1"/>
  <c r="A675" i="14" a="1"/>
  <c r="A270" i="13" a="1"/>
  <c r="A1060" i="13" a="1"/>
  <c r="A706" i="14" a="1"/>
  <c r="A67" i="14" a="1"/>
  <c r="A142" i="12" a="1"/>
  <c r="A614" i="12" a="1"/>
  <c r="A563" i="12" a="1"/>
  <c r="A734" i="13" a="1"/>
  <c r="A22" i="14" a="1"/>
  <c r="A958" i="14" a="1"/>
  <c r="A375" i="13" a="1"/>
  <c r="A1135" i="14" a="1"/>
  <c r="A168" i="14" a="1"/>
  <c r="A288" i="13" a="1"/>
  <c r="A560" i="13" a="1"/>
  <c r="A549" i="14" a="1"/>
  <c r="A742" i="12" a="1"/>
  <c r="A181" i="13" a="1"/>
  <c r="A29" i="14" a="1"/>
  <c r="A1349" i="13" a="1"/>
  <c r="A642" i="13" a="1"/>
  <c r="A454" i="12" a="1"/>
  <c r="A1016" i="14" a="1"/>
  <c r="A708" i="14" a="1"/>
  <c r="A101" i="14" a="1"/>
  <c r="A606" i="14" a="1"/>
  <c r="A185" i="13" a="1"/>
  <c r="A74" i="12" a="1"/>
  <c r="A604" i="13" a="1"/>
  <c r="A722" i="13" a="1"/>
  <c r="A237" i="13" a="1"/>
  <c r="A110" i="13" a="1"/>
  <c r="A167" i="13" a="1"/>
  <c r="A699" i="12" a="1"/>
  <c r="A184" i="14" a="1"/>
  <c r="A1268" i="12" a="1"/>
  <c r="A1091" i="14" a="1"/>
  <c r="A622" i="13" a="1"/>
  <c r="A831" i="14" a="1"/>
  <c r="A8" i="12" a="1"/>
  <c r="A881" i="13" a="1"/>
  <c r="A579" i="14" a="1"/>
  <c r="A551" i="13" a="1"/>
  <c r="A489" i="13" a="1"/>
  <c r="A563" i="14" a="1"/>
  <c r="A408" i="14" a="1"/>
  <c r="A234" i="13" a="1"/>
  <c r="A879" i="14" a="1"/>
  <c r="A134" i="14" a="1"/>
  <c r="A793" i="13" a="1"/>
  <c r="A638" i="14" a="1"/>
  <c r="A974" i="14" a="1"/>
  <c r="A537" i="13" a="1"/>
  <c r="A1301" i="14" a="1"/>
  <c r="A458" i="13" a="1"/>
  <c r="A783" i="12" a="1"/>
  <c r="A288" i="14" a="1"/>
  <c r="A824" i="12" a="1"/>
  <c r="A567" i="14" a="1"/>
  <c r="A983" i="13" a="1"/>
  <c r="A295" i="14" a="1"/>
  <c r="A138" i="12" a="1"/>
  <c r="A509" i="13" a="1"/>
  <c r="A1288" i="13" a="1"/>
  <c r="A1167" i="14" a="1"/>
  <c r="A159" i="14" a="1"/>
  <c r="A704" i="12" a="1"/>
  <c r="A1181" i="13" a="1"/>
  <c r="A12" i="14" a="1"/>
  <c r="A1081" i="12" a="1"/>
  <c r="A451" i="12" a="1"/>
  <c r="A1076" i="12" a="1"/>
  <c r="A813" i="13" a="1"/>
  <c r="A589" i="13" a="1"/>
  <c r="A122" i="13" a="1"/>
  <c r="A408" i="13" a="1"/>
  <c r="A975" i="13" a="1"/>
  <c r="A96" i="13" a="1"/>
  <c r="A516" i="12" a="1"/>
  <c r="A71" i="14" a="1"/>
  <c r="A889" i="12" a="1"/>
  <c r="A943" i="12" a="1"/>
  <c r="A724" i="13" a="1"/>
  <c r="A392" i="14" a="1"/>
  <c r="A716" i="12" a="1"/>
  <c r="A1051" i="14" a="1"/>
  <c r="A214" i="12" a="1"/>
  <c r="A1180" i="12" a="1"/>
  <c r="A1034" i="12" a="1"/>
  <c r="A410" i="12" a="1"/>
  <c r="A410" i="13" a="1"/>
  <c r="A1221" i="13" a="1"/>
  <c r="A187" i="12" a="1"/>
  <c r="A391" i="12" a="1"/>
  <c r="A372" i="12" a="1"/>
  <c r="A149" i="12" a="1"/>
  <c r="A47" i="12" a="1"/>
  <c r="A535" i="12" a="1"/>
  <c r="A616" i="12" a="1"/>
  <c r="A293" i="13" a="1"/>
  <c r="A679" i="13" a="1"/>
  <c r="A326" i="13" a="1"/>
  <c r="A85" i="13" a="1"/>
  <c r="A1226" i="13" a="1"/>
  <c r="A731" i="12" a="1"/>
  <c r="A442" i="12" a="1"/>
  <c r="A560" i="14" a="1"/>
  <c r="A155" i="13" a="1"/>
  <c r="A233" i="13" a="1"/>
  <c r="A655" i="14" a="1"/>
  <c r="A72" i="12" a="1"/>
  <c r="A120" i="12" a="1"/>
  <c r="A1204" i="13" a="1"/>
  <c r="A574" i="12" a="1"/>
  <c r="A381" i="12" a="1"/>
  <c r="A804" i="13" a="1"/>
  <c r="A137" i="14" a="1"/>
  <c r="A1292" i="12" a="1"/>
  <c r="A1225" i="13" a="1"/>
  <c r="A475" i="12" a="1"/>
  <c r="A1042" i="14" a="1"/>
  <c r="A1149" i="12" a="1"/>
  <c r="A624" i="12" a="1"/>
  <c r="A1205" i="14" a="1"/>
  <c r="A188" i="12" a="1"/>
  <c r="A55" i="13" a="1"/>
  <c r="A399" i="14" a="1"/>
  <c r="A526" i="13" a="1"/>
  <c r="A283" i="14" a="1"/>
  <c r="A917" i="13" a="1"/>
  <c r="A1159" i="12" a="1"/>
  <c r="A788" i="14" a="1"/>
  <c r="A62" i="13" a="1"/>
  <c r="A921" i="12" a="1"/>
  <c r="A389" i="13" a="1"/>
  <c r="A43" i="13" a="1"/>
  <c r="A497" i="12" a="1"/>
  <c r="A1145" i="12" a="1"/>
  <c r="A1046" i="12" a="1"/>
  <c r="A434" i="14" a="1"/>
  <c r="A1068" i="12" a="1"/>
  <c r="A743" i="12" a="1"/>
  <c r="A896" i="14" a="1"/>
  <c r="A537" i="14" a="1"/>
  <c r="A464" i="13" a="1"/>
  <c r="A925" i="12" a="1"/>
  <c r="A396" i="14" a="1"/>
  <c r="A431" i="12" a="1"/>
  <c r="A759" i="12" a="1"/>
  <c r="A1317" i="13" a="1"/>
  <c r="A225" i="14" a="1"/>
  <c r="A1299" i="14" a="1"/>
  <c r="A976" i="14" a="1"/>
  <c r="A646" i="13" a="1"/>
  <c r="A537" i="12" a="1"/>
  <c r="A933" i="12" a="1"/>
  <c r="A438" i="14" a="1"/>
  <c r="A1260" i="12" a="1"/>
  <c r="A216" i="13" a="1"/>
  <c r="A872" i="12" a="1"/>
  <c r="A1091" i="13" a="1"/>
  <c r="A813" i="12" a="1"/>
  <c r="A17" i="12" a="1"/>
  <c r="A256" i="13" a="1"/>
  <c r="A1241" i="13" a="1"/>
  <c r="A599" i="14" a="1"/>
  <c r="A1293" i="12" a="1"/>
  <c r="A689" i="13" a="1"/>
  <c r="A9" i="13" a="1"/>
  <c r="A972" i="13" a="1"/>
  <c r="A849" i="13" a="1"/>
  <c r="A829" i="12" a="1"/>
  <c r="A1008" i="12" a="1"/>
  <c r="A1184" i="13" a="1"/>
  <c r="A1075" i="12" a="1"/>
  <c r="A256" i="14" a="1"/>
  <c r="A1347" i="14" a="1"/>
  <c r="A17" i="13" a="1"/>
  <c r="A1126" i="14" a="1"/>
  <c r="A414" i="13" a="1"/>
  <c r="A268" i="14" a="1"/>
  <c r="A1187" i="14" a="1"/>
  <c r="A738" i="13" a="1"/>
  <c r="A188" i="14" a="1"/>
  <c r="A601" i="13" a="1"/>
  <c r="A305" i="14" a="1"/>
  <c r="A245" i="14" a="1"/>
  <c r="A871" i="14" a="1"/>
  <c r="A420" i="12" a="1"/>
  <c r="A1205" i="12" a="1"/>
  <c r="A155" i="14" a="1"/>
  <c r="A274" i="13" a="1"/>
  <c r="A541" i="13" a="1"/>
  <c r="A1095" i="14" a="1"/>
  <c r="A755" i="14" a="1"/>
  <c r="A22" i="13" a="1"/>
  <c r="A1318" i="12" a="1"/>
  <c r="A291" i="13" a="1"/>
  <c r="A43" i="14" a="1"/>
  <c r="A20" i="14" a="1"/>
  <c r="A1164" i="12" a="1"/>
  <c r="A138" i="14" a="1"/>
  <c r="A1279" i="12" a="1"/>
  <c r="A542" i="13" a="1"/>
  <c r="A564" i="13" a="1"/>
  <c r="A66" i="13" a="1"/>
  <c r="A629" i="13" a="1"/>
  <c r="A546" i="14" a="1"/>
  <c r="A421" i="14" a="1"/>
  <c r="A120" i="14" a="1"/>
  <c r="A1049" i="13" a="1"/>
  <c r="A941" i="14" a="1"/>
  <c r="A1031" i="14" a="1"/>
  <c r="A1017" i="12" a="1"/>
  <c r="A1004" i="12" a="1"/>
  <c r="A1035" i="12" a="1"/>
  <c r="A942" i="14" a="1"/>
  <c r="A1231" i="13" a="1"/>
  <c r="A1341" i="13" a="1"/>
  <c r="A613" i="14" a="1"/>
  <c r="A21" i="14" a="1"/>
  <c r="A960" i="13" a="1"/>
  <c r="A87" i="14" a="1"/>
  <c r="A613" i="12" a="1"/>
  <c r="A843" i="14" a="1"/>
  <c r="A666" i="12" a="1"/>
  <c r="A826" i="12" a="1"/>
  <c r="A845" i="12" a="1"/>
  <c r="A312" i="13" a="1"/>
  <c r="A709" i="12" a="1"/>
  <c r="A271" i="13" a="1"/>
  <c r="A1235" i="14" a="1"/>
  <c r="A1284" i="13" a="1"/>
  <c r="A218" i="14" a="1"/>
  <c r="A151" i="12" a="1"/>
  <c r="A74" i="13" a="1"/>
  <c r="A996" i="14" a="1"/>
  <c r="A1259" i="12" a="1"/>
  <c r="A1274" i="13" a="1"/>
  <c r="A860" i="14" a="1"/>
  <c r="A592" i="13" a="1"/>
  <c r="A1276" i="14" a="1"/>
  <c r="A1029" i="12" a="1"/>
  <c r="A821" i="13" a="1"/>
  <c r="A939" i="13" a="1"/>
  <c r="A916" i="13" a="1"/>
  <c r="A1025" i="13" a="1"/>
  <c r="A1101" i="13" a="1"/>
  <c r="A667" i="12" a="1"/>
  <c r="A1297" i="14" a="1"/>
  <c r="A709" i="14" a="1"/>
  <c r="A741" i="12" a="1"/>
  <c r="A905" i="13" a="1"/>
  <c r="A80" i="12" a="1"/>
  <c r="A329" i="12" a="1"/>
  <c r="A1014" i="13" a="1"/>
  <c r="A1310" i="13" a="1"/>
  <c r="A1284" i="14" a="1"/>
  <c r="A137" i="13" a="1"/>
  <c r="A724" i="14" a="1"/>
  <c r="A809" i="14" a="1"/>
  <c r="A801" i="12" a="1"/>
  <c r="A81" i="13" a="1"/>
  <c r="A89" i="13" a="1"/>
  <c r="A949" i="12" a="1"/>
  <c r="A416" i="13" a="1"/>
  <c r="A685" i="13" a="1"/>
  <c r="A1060" i="14" a="1"/>
  <c r="A917" i="12" a="1"/>
  <c r="A1066" i="12" a="1"/>
  <c r="A800" i="14" a="1"/>
  <c r="A156" i="14" a="1"/>
  <c r="A610" i="13" a="1"/>
  <c r="A1292" i="14" a="1"/>
  <c r="A483" i="14" a="1"/>
  <c r="A968" i="13" a="1"/>
  <c r="A688" i="12" a="1"/>
  <c r="A539" i="13" a="1"/>
  <c r="A322" i="12" a="1"/>
  <c r="A885" i="14" a="1"/>
  <c r="A450" i="13" a="1"/>
  <c r="A693" i="12" a="1"/>
  <c r="A700" i="13" a="1"/>
  <c r="A1149" i="13" a="1"/>
  <c r="A751" i="12" a="1"/>
  <c r="A766" i="12" a="1"/>
  <c r="A91" i="12" a="1"/>
  <c r="A224" i="13" a="1"/>
  <c r="A1259" i="13" a="1"/>
  <c r="A413" i="14" a="1"/>
  <c r="A251" i="13" a="1"/>
  <c r="A1100" i="13" a="1"/>
  <c r="A1276" i="12" a="1"/>
  <c r="A860" i="12" a="1"/>
  <c r="A743" i="14" a="1"/>
  <c r="A22" i="12" a="1"/>
  <c r="A660" i="12" a="1"/>
  <c r="A754" i="12" a="1"/>
  <c r="A549" i="12" a="1"/>
  <c r="A608" i="13" a="1"/>
  <c r="A472" i="12" a="1"/>
  <c r="A276" i="13" a="1"/>
  <c r="A1201" i="12" a="1"/>
  <c r="A893" i="13" a="1"/>
  <c r="A883" i="13" a="1"/>
  <c r="A274" i="12" a="1"/>
  <c r="A1320" i="12" a="1"/>
  <c r="A122" i="14" a="1"/>
  <c r="A467" i="14" a="1"/>
  <c r="A483" i="13" a="1"/>
  <c r="A1200" i="14" a="1"/>
  <c r="A838" i="12" a="1"/>
  <c r="A45" i="14" a="1"/>
  <c r="A774" i="12" a="1"/>
  <c r="A1031" i="12" a="1"/>
  <c r="A1317" i="12" a="1"/>
  <c r="A35" i="12" a="1"/>
  <c r="A358" i="14" a="1"/>
  <c r="A231" i="13" a="1"/>
  <c r="A334" i="12" a="1"/>
  <c r="A1042" i="13" a="1"/>
  <c r="A281" i="12" a="1"/>
  <c r="A485" i="12" a="1"/>
  <c r="A896" i="12" a="1"/>
  <c r="A972" i="12" a="1"/>
  <c r="A893" i="14" a="1"/>
  <c r="A870" i="13" a="1"/>
  <c r="A974" i="12" a="1"/>
  <c r="A1030" i="13" a="1"/>
  <c r="A950" i="12" a="1"/>
  <c r="A64" i="13" a="1"/>
  <c r="A979" i="14" a="1"/>
  <c r="A495" i="13" a="1"/>
  <c r="A329" i="13" a="1"/>
  <c r="A10" i="14" a="1"/>
  <c r="A1350" i="14" a="1"/>
  <c r="A900" i="14" a="1"/>
  <c r="A239" i="13" a="1"/>
  <c r="A221" i="14" a="1"/>
  <c r="A308" i="14" a="1"/>
  <c r="A438" i="12" a="1"/>
  <c r="A800" i="12" a="1"/>
  <c r="A384" i="13" a="1"/>
  <c r="A12" i="12" a="1"/>
  <c r="A309" i="12" a="1"/>
  <c r="A330" i="12" a="1"/>
  <c r="A201" i="12" a="1"/>
  <c r="A105" i="13" a="1"/>
  <c r="A68" i="13" a="1"/>
  <c r="A799" i="13" a="1"/>
  <c r="A354" i="13" a="1"/>
  <c r="A370" i="12" a="1"/>
  <c r="A950" i="13" a="1"/>
  <c r="A918" i="13" a="1"/>
  <c r="A335" i="13" a="1"/>
  <c r="A45" i="13" a="1"/>
  <c r="A264" i="12" a="1"/>
  <c r="A1137" i="12" a="1"/>
  <c r="A1221" i="14" a="1"/>
  <c r="A1129" i="12" a="1"/>
  <c r="A475" i="13" a="1"/>
  <c r="A791" i="13" a="1"/>
  <c r="A76" i="12" a="1"/>
  <c r="A109" i="12" a="1"/>
  <c r="A1184" i="12" a="1"/>
  <c r="A456" i="13" a="1"/>
  <c r="A699" i="13" a="1"/>
  <c r="A237" i="14" a="1"/>
  <c r="A1108" i="13" a="1"/>
  <c r="A458" i="12" a="1"/>
  <c r="A43" i="12" a="1"/>
  <c r="A784" i="13" a="1"/>
  <c r="A997" i="14" a="1"/>
  <c r="A1321" i="12" a="1"/>
  <c r="A926" i="13" a="1"/>
  <c r="A975" i="14" a="1"/>
  <c r="A425" i="12" a="1"/>
  <c r="A995" i="14" a="1"/>
  <c r="A355" i="14" a="1"/>
  <c r="A546" i="12" a="1"/>
  <c r="A737" i="12" a="1"/>
  <c r="A476" i="12" a="1"/>
  <c r="A304" i="12" a="1"/>
  <c r="A4" i="13" a="1"/>
  <c r="A970" i="14" a="1"/>
  <c r="A174" i="12" a="1"/>
  <c r="A318" i="13" a="1"/>
  <c r="A39" i="14" a="1"/>
  <c r="A574" i="14" a="1"/>
  <c r="A985" i="12" a="1"/>
  <c r="A235" i="14" a="1"/>
  <c r="A1116" i="12" a="1"/>
  <c r="A160" i="14" a="1"/>
  <c r="A191" i="14" a="1"/>
  <c r="A430" i="14" a="1"/>
  <c r="A1108" i="12" a="1"/>
  <c r="A388" i="13" a="1"/>
  <c r="A750" i="13" a="1"/>
  <c r="A285" i="13" a="1"/>
  <c r="A645" i="12" a="1"/>
  <c r="A159" i="12" a="1"/>
  <c r="A51" i="13" a="1"/>
  <c r="A1224" i="14" a="1"/>
  <c r="A376" i="14" a="1"/>
  <c r="A385" i="13" a="1"/>
  <c r="A1164" i="14" a="1"/>
  <c r="A829" i="13" a="1"/>
  <c r="A87" i="12" a="1"/>
  <c r="A1326" i="13" a="1"/>
  <c r="A596" i="13" a="1"/>
  <c r="A580" i="14" a="1"/>
  <c r="A681" i="14" a="1"/>
  <c r="A1096" i="12" a="1"/>
  <c r="A913" i="12" a="1"/>
  <c r="A435" i="14" a="1"/>
  <c r="A930" i="13" a="1"/>
  <c r="A1143" i="12" a="1"/>
  <c r="A655" i="12" a="1"/>
  <c r="A1245" i="13" a="1"/>
  <c r="A775" i="14" a="1"/>
  <c r="A554" i="13" a="1"/>
  <c r="A262" i="12" a="1"/>
  <c r="A484" i="14" a="1"/>
  <c r="A339" i="14" a="1"/>
  <c r="A246" i="13" a="1"/>
  <c r="A201" i="14" a="1"/>
  <c r="A1345" i="13" a="1"/>
  <c r="A1093" i="12" a="1"/>
  <c r="A854" i="12" a="1"/>
  <c r="A639" i="13" a="1"/>
  <c r="A1335" i="12" a="1"/>
  <c r="A254" i="14" a="1"/>
  <c r="A208" i="14" a="1"/>
  <c r="A1120" i="14" a="1"/>
  <c r="A209" i="12" a="1"/>
  <c r="A901" i="13" a="1"/>
  <c r="A1220" i="13" a="1"/>
  <c r="A835" i="13" a="1"/>
  <c r="A1263" i="12" a="1"/>
  <c r="A1312" i="13" a="1"/>
  <c r="A889" i="14" a="1"/>
  <c r="A908" i="13" a="1"/>
  <c r="A592" i="14" a="1"/>
  <c r="A1187" i="13" a="1"/>
  <c r="A1320" i="13" a="1"/>
  <c r="A556" i="12" a="1"/>
  <c r="A1306" i="12" a="1"/>
  <c r="A296" i="12" a="1"/>
  <c r="A1039" i="12" a="1"/>
  <c r="A1062" i="12" a="1"/>
  <c r="A1013" i="12" a="1"/>
  <c r="A1033" i="14" a="1"/>
  <c r="A1251" i="12" a="1"/>
  <c r="A1072" i="14" a="1"/>
  <c r="A751" i="14" a="1"/>
  <c r="A951" i="14" a="1"/>
  <c r="A131" i="14" a="1"/>
  <c r="A1034" i="13" a="1"/>
  <c r="A597" i="14" a="1"/>
  <c r="A770" i="13" a="1"/>
  <c r="A68" i="12" a="1"/>
  <c r="A191" i="12" a="1"/>
  <c r="A1179" i="14" a="1"/>
  <c r="A258" i="13" a="1"/>
  <c r="A724" i="12" a="1"/>
  <c r="A160" i="13" a="1"/>
  <c r="A1306" i="14" a="1"/>
  <c r="A1089" i="14" a="1"/>
  <c r="A771" i="14" a="1"/>
  <c r="A1180" i="13" a="1"/>
  <c r="A804" i="12" a="1"/>
  <c r="A371" i="12" a="1"/>
  <c r="A418" i="14" a="1"/>
  <c r="A783" i="13" a="1"/>
  <c r="A866" i="13" a="1"/>
  <c r="A1306" i="13" a="1"/>
  <c r="A547" i="13" a="1"/>
  <c r="A1330" i="14" a="1"/>
  <c r="A206" i="12" a="1"/>
  <c r="A1054" i="13" a="1"/>
  <c r="A1221" i="12" a="1"/>
  <c r="A680" i="13" a="1"/>
  <c r="A99" i="13" a="1"/>
  <c r="A379" i="13" a="1"/>
  <c r="A1288" i="12" a="1"/>
  <c r="A292" i="13" a="1"/>
  <c r="A347" i="12" a="1"/>
  <c r="A1262" i="14" a="1"/>
  <c r="A241" i="13" a="1"/>
  <c r="A654" i="13" a="1"/>
  <c r="A1288" i="14" a="1"/>
  <c r="A766" i="13" a="1"/>
  <c r="A250" i="13" a="1"/>
  <c r="A368" i="12" a="1"/>
  <c r="A870" i="14" a="1"/>
  <c r="A651" i="14" a="1"/>
  <c r="A1063" i="14" a="1"/>
  <c r="A275" i="12" a="1"/>
  <c r="A834" i="13" a="1"/>
  <c r="A321" i="12" a="1"/>
  <c r="A600" i="14" a="1"/>
  <c r="A1183" i="12" a="1"/>
  <c r="A1109" i="12" a="1"/>
  <c r="A1335" i="13" a="1"/>
  <c r="A391" i="14" a="1"/>
  <c r="A1064" i="13" a="1"/>
  <c r="A1114" i="14" a="1"/>
  <c r="A371" i="14" a="1"/>
  <c r="A1131" i="13" a="1"/>
  <c r="A281" i="14" a="1"/>
  <c r="A1249" i="12" a="1"/>
  <c r="A1063" i="12" a="1"/>
  <c r="A1068" i="14" a="1"/>
  <c r="A417" i="14" a="1"/>
  <c r="A1346" i="14" a="1"/>
  <c r="A320" i="14" a="1"/>
  <c r="A1075" i="13" a="1"/>
  <c r="A1095" i="12" a="1"/>
  <c r="A1124" i="14" a="1"/>
  <c r="A1113" i="13" a="1"/>
  <c r="A937" i="13" a="1"/>
  <c r="A296" i="13" a="1"/>
  <c r="A1256" i="12" a="1"/>
  <c r="A934" i="13" a="1"/>
  <c r="A21" i="12" a="1"/>
  <c r="A1279" i="13" a="1"/>
  <c r="A1192" i="13" a="1"/>
  <c r="A1304" i="12" a="1"/>
  <c r="A526" i="12" a="1"/>
  <c r="A842" i="14" a="1"/>
  <c r="A84" i="12" a="1"/>
  <c r="A301" i="12" a="1"/>
  <c r="A368" i="14" a="1"/>
  <c r="A242" i="12" a="1"/>
  <c r="A113" i="12" a="1"/>
  <c r="A647" i="13" a="1"/>
  <c r="A38" i="13" a="1"/>
  <c r="A589" i="14" a="1"/>
  <c r="A830" i="12" a="1"/>
  <c r="A325" i="13" a="1"/>
  <c r="A60" i="12" a="1"/>
  <c r="A145" i="12" a="1"/>
  <c r="A1142" i="14" a="1"/>
  <c r="A671" i="12" a="1"/>
  <c r="A183" i="12" a="1"/>
  <c r="A289" i="14" a="1"/>
  <c r="A772" i="13" a="1"/>
  <c r="A618" i="12" a="1"/>
  <c r="A435" i="13" a="1"/>
  <c r="A151" i="13" a="1"/>
  <c r="A320" i="13" a="1"/>
  <c r="A1309" i="14" a="1"/>
  <c r="A787" i="14" a="1"/>
  <c r="A938" i="13" a="1"/>
  <c r="A824" i="13" a="1"/>
  <c r="A1005" i="12" a="1"/>
  <c r="A24" i="13" a="1"/>
  <c r="A825" i="14" a="1"/>
  <c r="A726" i="12" a="1"/>
  <c r="A835" i="14" a="1"/>
  <c r="A439" i="12" a="1"/>
  <c r="A830" i="14" a="1"/>
  <c r="A654" i="14" a="1"/>
  <c r="A649" i="14" a="1"/>
  <c r="A463" i="13" a="1"/>
  <c r="A550" i="13" a="1"/>
  <c r="A12" i="13" a="1"/>
  <c r="A1239" i="14" a="1"/>
  <c r="A881" i="14" a="1"/>
  <c r="A981" i="12" a="1"/>
  <c r="A834" i="14" a="1"/>
  <c r="A480" i="12" a="1"/>
  <c r="A506" i="13" a="1"/>
  <c r="A1050" i="12" a="1"/>
  <c r="A520" i="12" a="1"/>
  <c r="A379" i="12" a="1"/>
  <c r="A31" i="14" a="1"/>
  <c r="A641" i="14" a="1"/>
  <c r="A196" i="13" a="1"/>
  <c r="A70" i="13" a="1"/>
  <c r="A285" i="12" a="1"/>
  <c r="A1154" i="12" a="1"/>
  <c r="A549" i="13" a="1"/>
  <c r="A321" i="13" a="1"/>
  <c r="A25" i="14" a="1"/>
  <c r="A449" i="12" a="1"/>
  <c r="A1080" i="14" a="1"/>
  <c r="A668" i="13" a="1"/>
  <c r="A617" i="12" a="1"/>
  <c r="A945" i="13" a="1"/>
  <c r="A874" i="13" a="1"/>
  <c r="A1264" i="13" a="1"/>
  <c r="A300" i="14" a="1"/>
  <c r="A363" i="13" a="1"/>
  <c r="A76" i="14" a="1"/>
  <c r="A104" i="13" a="1"/>
  <c r="A200" i="14" a="1"/>
  <c r="A24" i="14" a="1"/>
  <c r="A1214" i="14" a="1"/>
  <c r="A346" i="14" a="1"/>
  <c r="A899" i="14" a="1"/>
  <c r="A871" i="12" a="1"/>
  <c r="A1043" i="12" a="1"/>
  <c r="A171" i="14" a="1"/>
  <c r="A38" i="14" a="1"/>
  <c r="A471" i="12" a="1"/>
  <c r="A31" i="12" a="1"/>
  <c r="A584" i="13" a="1"/>
  <c r="A1021" i="13" a="1"/>
  <c r="A349" i="13" a="1"/>
  <c r="A779" i="14" a="1"/>
  <c r="A1033" i="12" a="1"/>
  <c r="A518" i="14" a="1"/>
  <c r="A1201" i="13" a="1"/>
  <c r="A141" i="12" a="1"/>
  <c r="A1168" i="14" a="1"/>
  <c r="A1316" i="12" a="1"/>
  <c r="A1199" i="13" a="1"/>
  <c r="A504" i="12" a="1"/>
  <c r="A1024" i="14" a="1"/>
  <c r="A1193" i="13" a="1"/>
  <c r="A362" i="14" a="1"/>
  <c r="A775" i="12" a="1"/>
  <c r="A564" i="14" a="1"/>
  <c r="A1300" i="14" a="1"/>
  <c r="A733" i="12" a="1"/>
  <c r="A100" i="12" a="1"/>
  <c r="A168" i="13" a="1"/>
  <c r="A1101" i="14" a="1"/>
  <c r="A630" i="14" a="1"/>
  <c r="A755" i="12" a="1"/>
  <c r="A305" i="12" a="1"/>
  <c r="A470" i="13" a="1"/>
  <c r="A781" i="13" a="1"/>
  <c r="A371" i="13" a="1"/>
  <c r="A496" i="14" a="1"/>
  <c r="A118" i="12" a="1"/>
  <c r="A600" i="12" a="1"/>
  <c r="A354" i="14" a="1"/>
  <c r="A446" i="12" a="1"/>
  <c r="A242" i="13" a="1"/>
  <c r="A1001" i="13" a="1"/>
  <c r="A900" i="13" a="1"/>
  <c r="A158" i="14" a="1"/>
  <c r="A14" i="12" a="1"/>
  <c r="A184" i="13" a="1"/>
  <c r="A241" i="12" a="1"/>
  <c r="A89" i="12" a="1"/>
  <c r="A6" i="14" a="1"/>
  <c r="A249" i="12" a="1"/>
  <c r="A495" i="14" a="1"/>
  <c r="A366" i="12" a="1"/>
  <c r="A1316" i="13" a="1"/>
  <c r="A229" i="14" a="1"/>
  <c r="A639" i="12" a="1"/>
  <c r="A143" i="13" a="1"/>
  <c r="A300" i="12" a="1"/>
  <c r="A810" i="12" a="1"/>
  <c r="A621" i="13" a="1"/>
  <c r="A1300" i="12" a="1"/>
  <c r="A1172" i="14" a="1"/>
  <c r="A609" i="14" a="1"/>
  <c r="A383" i="14" a="1"/>
  <c r="A1301" i="12" a="1"/>
  <c r="A985" i="14" a="1"/>
  <c r="A66" i="12" a="1"/>
  <c r="A1109" i="14" a="1"/>
  <c r="A664" i="12" a="1"/>
  <c r="A914" i="13" a="1"/>
  <c r="A1110" i="13" a="1"/>
  <c r="A849" i="14" a="1"/>
  <c r="A1208" i="12" a="1"/>
  <c r="A822" i="12" a="1"/>
  <c r="A792" i="14" a="1"/>
  <c r="A749" i="12" a="1"/>
  <c r="A1166" i="13" a="1"/>
  <c r="A1272" i="13" a="1"/>
  <c r="A872" i="14" a="1"/>
  <c r="A350" i="14" a="1"/>
  <c r="A387" i="14" a="1"/>
  <c r="A1329" i="13" a="1"/>
  <c r="A79" i="13" a="1"/>
  <c r="A1246" i="13" a="1"/>
  <c r="A999" i="14" a="1"/>
  <c r="A404" i="12" a="1"/>
  <c r="A596" i="12" a="1"/>
  <c r="A176" i="14" a="1"/>
  <c r="A722" i="12" a="1"/>
  <c r="A121" i="13" a="1"/>
  <c r="A921" i="14" a="1"/>
  <c r="A92" i="12" a="1"/>
  <c r="A645" i="14" a="1"/>
  <c r="A100" i="14" a="1"/>
  <c r="A179" i="12" a="1"/>
  <c r="A809" i="12" a="1"/>
  <c r="A718" i="13" a="1"/>
  <c r="A226" i="12" a="1"/>
  <c r="A422" i="14" a="1"/>
  <c r="A204" i="12" a="1"/>
  <c r="A388" i="14" a="1"/>
  <c r="A754" i="13" a="1"/>
  <c r="A250" i="14" a="1"/>
  <c r="A359" i="13" a="1"/>
  <c r="A939" i="12" a="1"/>
  <c r="A334" i="14" a="1"/>
  <c r="A705" i="13" a="1"/>
  <c r="A742" i="14" a="1"/>
  <c r="A538" i="13" a="1"/>
  <c r="A1050" i="13" a="1"/>
  <c r="A608" i="14" a="1"/>
  <c r="A543" i="13" a="1"/>
  <c r="A1170" i="13" a="1"/>
  <c r="A425" i="14" a="1"/>
  <c r="A671" i="13" a="1"/>
  <c r="A508" i="14" a="1"/>
  <c r="A612" i="13" a="1"/>
  <c r="A850" i="14" a="1"/>
  <c r="A868" i="12" a="1"/>
  <c r="A831" i="12" a="1"/>
  <c r="A775" i="13" a="1"/>
  <c r="A451" i="14" a="1"/>
  <c r="A642" i="14" a="1"/>
  <c r="A547" i="12" a="1"/>
  <c r="A499" i="13" a="1"/>
  <c r="A588" i="12" a="1"/>
  <c r="A350" i="13" a="1"/>
  <c r="A1299" i="12" a="1"/>
  <c r="A337" i="13" a="1"/>
  <c r="A1121" i="14" a="1"/>
  <c r="A1341" i="12" a="1"/>
  <c r="A843" i="12" a="1"/>
  <c r="A414" i="14" a="1"/>
  <c r="A781" i="14" a="1"/>
  <c r="A580" i="12" a="1"/>
  <c r="A1275" i="13" a="1"/>
  <c r="A850" i="12" a="1"/>
  <c r="A1056" i="14" a="1"/>
  <c r="A662" i="14" a="1"/>
  <c r="A175" i="13" a="1"/>
  <c r="A288" i="12" a="1"/>
  <c r="A364" i="13" a="1"/>
  <c r="A255" i="12" a="1"/>
  <c r="A888" i="14" a="1"/>
  <c r="A856" i="13" a="1"/>
  <c r="A1339" i="13" a="1"/>
  <c r="A1038" i="14" a="1"/>
  <c r="A909" i="13" a="1"/>
  <c r="A926" i="12" a="1"/>
  <c r="A922" i="13" a="1"/>
  <c r="A984" i="12" a="1"/>
  <c r="A697" i="13" a="1"/>
  <c r="A795" i="12" a="1"/>
  <c r="A493" i="13" a="1"/>
  <c r="A1037" i="12" a="1"/>
  <c r="A666" i="13" a="1"/>
  <c r="A367" i="13" a="1"/>
  <c r="A112" i="14" a="1"/>
  <c r="A964" i="14" a="1"/>
  <c r="A1104" i="14" a="1"/>
  <c r="A1216" i="12" a="1"/>
  <c r="A263" i="12" a="1"/>
  <c r="A276" i="12" a="1"/>
  <c r="A235" i="12" a="1"/>
  <c r="A510" i="12" a="1"/>
  <c r="A1218" i="12" a="1"/>
  <c r="A37" i="12" a="1"/>
  <c r="A1339" i="14" a="1"/>
  <c r="A1292" i="13" a="1"/>
  <c r="A130" i="13" a="1"/>
  <c r="A868" i="14" a="1"/>
  <c r="A1025" i="14" a="1"/>
  <c r="A425" i="13" a="1"/>
  <c r="A612" i="12" a="1"/>
  <c r="A1079" i="12" a="1"/>
  <c r="A662" i="12" a="1"/>
  <c r="A1213" i="14" a="1"/>
  <c r="A562" i="14" a="1"/>
  <c r="A287" i="13" a="1"/>
  <c r="A409" i="14" a="1"/>
  <c r="A397" i="12" a="1"/>
  <c r="A163" i="14" a="1"/>
  <c r="A472" i="13" a="1"/>
  <c r="A1326" i="12" a="1"/>
  <c r="A750" i="14" a="1"/>
  <c r="A468" i="14" a="1"/>
  <c r="A696" i="13" a="1"/>
  <c r="A1185" i="12" a="1"/>
  <c r="A263" i="14" a="1"/>
  <c r="A587" i="14" a="1"/>
  <c r="A805" i="13" a="1"/>
  <c r="A1243" i="14" a="1"/>
  <c r="A800" i="13" a="1"/>
  <c r="A612" i="14" a="1"/>
  <c r="A747" i="13" a="1"/>
  <c r="A1059" i="14" a="1"/>
  <c r="A1147" i="13" a="1"/>
  <c r="A183" i="14" a="1"/>
  <c r="A83" i="14" a="1"/>
  <c r="A1189" i="12" a="1"/>
  <c r="A579" i="13" a="1"/>
  <c r="A300" i="13" a="1"/>
  <c r="A85" i="12" a="1"/>
  <c r="A37" i="14" a="1"/>
  <c r="A568" i="14" a="1"/>
  <c r="A1025" i="12" a="1"/>
  <c r="A1121" i="13" a="1"/>
  <c r="A284" i="13" a="1"/>
  <c r="A818" i="13" a="1"/>
  <c r="A68" i="14" a="1"/>
  <c r="A68" i="14" l="1"/>
  <c r="A818" i="13"/>
  <c r="A284" i="13"/>
  <c r="A1121" i="13"/>
  <c r="A1025" i="12"/>
  <c r="A568" i="14"/>
  <c r="A37" i="14"/>
  <c r="A85" i="12"/>
  <c r="A300" i="13"/>
  <c r="A579" i="13"/>
  <c r="A1189" i="12"/>
  <c r="A83" i="14"/>
  <c r="A183" i="14"/>
  <c r="A1147" i="13"/>
  <c r="A1059" i="14"/>
  <c r="A747" i="13"/>
  <c r="A612" i="14"/>
  <c r="A800" i="13"/>
  <c r="A1243" i="14"/>
  <c r="A805" i="13"/>
  <c r="A587" i="14"/>
  <c r="A263" i="14"/>
  <c r="A1185" i="12"/>
  <c r="A696" i="13"/>
  <c r="A468" i="14"/>
  <c r="A750" i="14"/>
  <c r="A1326" i="12"/>
  <c r="A472" i="13"/>
  <c r="A163" i="14"/>
  <c r="A397" i="12"/>
  <c r="A409" i="14"/>
  <c r="A287" i="13"/>
  <c r="A562" i="14"/>
  <c r="A1213" i="14"/>
  <c r="A662" i="12"/>
  <c r="A1079" i="12"/>
  <c r="A612" i="12"/>
  <c r="A425" i="13"/>
  <c r="A1025" i="14"/>
  <c r="A868" i="14"/>
  <c r="A130" i="13"/>
  <c r="A1292" i="13"/>
  <c r="A1339" i="14"/>
  <c r="A37" i="12"/>
  <c r="A1218" i="12"/>
  <c r="A510" i="12"/>
  <c r="A235" i="12"/>
  <c r="A276" i="12"/>
  <c r="A263" i="12"/>
  <c r="A1216" i="12"/>
  <c r="A1104" i="14"/>
  <c r="A964" i="14"/>
  <c r="A112" i="14"/>
  <c r="A367" i="13"/>
  <c r="A666" i="13"/>
  <c r="A1037" i="12"/>
  <c r="A493" i="13"/>
  <c r="A795" i="12"/>
  <c r="A697" i="13"/>
  <c r="A984" i="12"/>
  <c r="A922" i="13"/>
  <c r="A926" i="12"/>
  <c r="A909" i="13"/>
  <c r="A1038" i="14"/>
  <c r="A1339" i="13"/>
  <c r="A856" i="13"/>
  <c r="A888" i="14"/>
  <c r="A255" i="12"/>
  <c r="A364" i="13"/>
  <c r="A288" i="12"/>
  <c r="A175" i="13"/>
  <c r="A662" i="14"/>
  <c r="A1056" i="14"/>
  <c r="A850" i="12"/>
  <c r="A1275" i="13"/>
  <c r="A580" i="12"/>
  <c r="A781" i="14"/>
  <c r="A414" i="14"/>
  <c r="A843" i="12"/>
  <c r="A1341" i="12"/>
  <c r="A1121" i="14"/>
  <c r="A337" i="13"/>
  <c r="A1299" i="12"/>
  <c r="A350" i="13"/>
  <c r="A588" i="12"/>
  <c r="A499" i="13"/>
  <c r="A547" i="12"/>
  <c r="A642" i="14"/>
  <c r="A451" i="14"/>
  <c r="A775" i="13"/>
  <c r="A831" i="12"/>
  <c r="A868" i="12"/>
  <c r="A850" i="14"/>
  <c r="A612" i="13"/>
  <c r="A508" i="14"/>
  <c r="A671" i="13"/>
  <c r="A425" i="14"/>
  <c r="A1170" i="13"/>
  <c r="A543" i="13"/>
  <c r="A608" i="14"/>
  <c r="A1050" i="13"/>
  <c r="A538" i="13"/>
  <c r="A742" i="14"/>
  <c r="A705" i="13"/>
  <c r="A334" i="14"/>
  <c r="A939" i="12"/>
  <c r="A359" i="13"/>
  <c r="A250" i="14"/>
  <c r="A754" i="13"/>
  <c r="A388" i="14"/>
  <c r="A204" i="12"/>
  <c r="A422" i="14"/>
  <c r="A226" i="12"/>
  <c r="A718" i="13"/>
  <c r="A809" i="12"/>
  <c r="A179" i="12"/>
  <c r="A100" i="14"/>
  <c r="A645" i="14"/>
  <c r="A92" i="12"/>
  <c r="A921" i="14"/>
  <c r="A121" i="13"/>
  <c r="A722" i="12"/>
  <c r="A176" i="14"/>
  <c r="A596" i="12"/>
  <c r="A404" i="12"/>
  <c r="A999" i="14"/>
  <c r="A1246" i="13"/>
  <c r="A79" i="13"/>
  <c r="A1329" i="13"/>
  <c r="A387" i="14"/>
  <c r="A350" i="14"/>
  <c r="A872" i="14"/>
  <c r="A1272" i="13"/>
  <c r="A1166" i="13"/>
  <c r="A749" i="12"/>
  <c r="A792" i="14"/>
  <c r="A822" i="12"/>
  <c r="A1208" i="12"/>
  <c r="A849" i="14"/>
  <c r="A1110" i="13"/>
  <c r="A914" i="13"/>
  <c r="A664" i="12"/>
  <c r="A1109" i="14"/>
  <c r="A66" i="12"/>
  <c r="A985" i="14"/>
  <c r="A1301" i="12"/>
  <c r="A383" i="14"/>
  <c r="A609" i="14"/>
  <c r="A1172" i="14"/>
  <c r="A1300" i="12"/>
  <c r="A621" i="13"/>
  <c r="A810" i="12"/>
  <c r="A300" i="12"/>
  <c r="A143" i="13"/>
  <c r="A639" i="12"/>
  <c r="A229" i="14"/>
  <c r="A1316" i="13"/>
  <c r="A366" i="12"/>
  <c r="A495" i="14"/>
  <c r="A249" i="12"/>
  <c r="A6" i="14"/>
  <c r="A89" i="12"/>
  <c r="A241" i="12"/>
  <c r="A184" i="13"/>
  <c r="A14" i="12"/>
  <c r="A158" i="14"/>
  <c r="A900" i="13"/>
  <c r="A1001" i="13"/>
  <c r="A242" i="13"/>
  <c r="A446" i="12"/>
  <c r="A354" i="14"/>
  <c r="A600" i="12"/>
  <c r="A118" i="12"/>
  <c r="A496" i="14"/>
  <c r="A371" i="13"/>
  <c r="A781" i="13"/>
  <c r="A470" i="13"/>
  <c r="A305" i="12"/>
  <c r="A755" i="12"/>
  <c r="A630" i="14"/>
  <c r="A1101" i="14"/>
  <c r="A168" i="13"/>
  <c r="A100" i="12"/>
  <c r="A733" i="12"/>
  <c r="A1300" i="14"/>
  <c r="A564" i="14"/>
  <c r="A775" i="12"/>
  <c r="A362" i="14"/>
  <c r="A1193" i="13"/>
  <c r="A1024" i="14"/>
  <c r="A504" i="12"/>
  <c r="A1199" i="13"/>
  <c r="A1316" i="12"/>
  <c r="A1168" i="14"/>
  <c r="A141" i="12"/>
  <c r="A1201" i="13"/>
  <c r="A518" i="14"/>
  <c r="A1033" i="12"/>
  <c r="A779" i="14"/>
  <c r="A349" i="13"/>
  <c r="A1021" i="13"/>
  <c r="A584" i="13"/>
  <c r="A31" i="12"/>
  <c r="A471" i="12"/>
  <c r="A38" i="14"/>
  <c r="A171" i="14"/>
  <c r="A1043" i="12"/>
  <c r="A871" i="12"/>
  <c r="A899" i="14"/>
  <c r="A346" i="14"/>
  <c r="A1214" i="14"/>
  <c r="A24" i="14"/>
  <c r="A200" i="14"/>
  <c r="A104" i="13"/>
  <c r="A76" i="14"/>
  <c r="A363" i="13"/>
  <c r="A300" i="14"/>
  <c r="A1264" i="13"/>
  <c r="A874" i="13"/>
  <c r="A945" i="13"/>
  <c r="A617" i="12"/>
  <c r="A668" i="13"/>
  <c r="A1080" i="14"/>
  <c r="A449" i="12"/>
  <c r="A25" i="14"/>
  <c r="A321" i="13"/>
  <c r="A549" i="13"/>
  <c r="A1154" i="12"/>
  <c r="A285" i="12"/>
  <c r="A70" i="13"/>
  <c r="A196" i="13"/>
  <c r="A641" i="14"/>
  <c r="A31" i="14"/>
  <c r="A379" i="12"/>
  <c r="A520" i="12"/>
  <c r="A1050" i="12"/>
  <c r="A506" i="13"/>
  <c r="A480" i="12"/>
  <c r="A834" i="14"/>
  <c r="A981" i="12"/>
  <c r="A881" i="14"/>
  <c r="A1239" i="14"/>
  <c r="A12" i="13"/>
  <c r="A550" i="13"/>
  <c r="A463" i="13"/>
  <c r="A649" i="14"/>
  <c r="A654" i="14"/>
  <c r="A830" i="14"/>
  <c r="A439" i="12"/>
  <c r="A835" i="14"/>
  <c r="A726" i="12"/>
  <c r="A825" i="14"/>
  <c r="A24" i="13"/>
  <c r="A1005" i="12"/>
  <c r="A824" i="13"/>
  <c r="A938" i="13"/>
  <c r="A787" i="14"/>
  <c r="A1309" i="14"/>
  <c r="A320" i="13"/>
  <c r="A151" i="13"/>
  <c r="A435" i="13"/>
  <c r="A618" i="12"/>
  <c r="A772" i="13"/>
  <c r="A289" i="14"/>
  <c r="A183" i="12"/>
  <c r="A671" i="12"/>
  <c r="A1142" i="14"/>
  <c r="A145" i="12"/>
  <c r="A60" i="12"/>
  <c r="A325" i="13"/>
  <c r="A830" i="12"/>
  <c r="A589" i="14"/>
  <c r="A38" i="13"/>
  <c r="A647" i="13"/>
  <c r="A113" i="12"/>
  <c r="A242" i="12"/>
  <c r="A368" i="14"/>
  <c r="A301" i="12"/>
  <c r="A84" i="12"/>
  <c r="A842" i="14"/>
  <c r="A526" i="12"/>
  <c r="A1304" i="12"/>
  <c r="A1192" i="13"/>
  <c r="A1279" i="13"/>
  <c r="A21" i="12"/>
  <c r="A934" i="13"/>
  <c r="A1256" i="12"/>
  <c r="A296" i="13"/>
  <c r="A937" i="13"/>
  <c r="A1113" i="13"/>
  <c r="A1124" i="14"/>
  <c r="A1095" i="12"/>
  <c r="A1075" i="13"/>
  <c r="A320" i="14"/>
  <c r="A1346" i="14"/>
  <c r="A417" i="14"/>
  <c r="A1068" i="14"/>
  <c r="A1063" i="12"/>
  <c r="A1249" i="12"/>
  <c r="A281" i="14"/>
  <c r="A1131" i="13"/>
  <c r="A371" i="14"/>
  <c r="A1114" i="14"/>
  <c r="A1064" i="13"/>
  <c r="A391" i="14"/>
  <c r="A1335" i="13"/>
  <c r="A1109" i="12"/>
  <c r="A1183" i="12"/>
  <c r="A600" i="14"/>
  <c r="A321" i="12"/>
  <c r="A834" i="13"/>
  <c r="A275" i="12"/>
  <c r="A1063" i="14"/>
  <c r="A651" i="14"/>
  <c r="A870" i="14"/>
  <c r="A368" i="12"/>
  <c r="A250" i="13"/>
  <c r="A766" i="13"/>
  <c r="A1288" i="14"/>
  <c r="A654" i="13"/>
  <c r="A241" i="13"/>
  <c r="A1262" i="14"/>
  <c r="A347" i="12"/>
  <c r="A292" i="13"/>
  <c r="A1288" i="12"/>
  <c r="A379" i="13"/>
  <c r="A99" i="13"/>
  <c r="A680" i="13"/>
  <c r="A1221" i="12"/>
  <c r="A1054" i="13"/>
  <c r="A206" i="12"/>
  <c r="A1330" i="14"/>
  <c r="A547" i="13"/>
  <c r="A1306" i="13"/>
  <c r="A866" i="13"/>
  <c r="A783" i="13"/>
  <c r="A418" i="14"/>
  <c r="A371" i="12"/>
  <c r="A804" i="12"/>
  <c r="A1180" i="13"/>
  <c r="A771" i="14"/>
  <c r="A1089" i="14"/>
  <c r="A1306" i="14"/>
  <c r="A160" i="13"/>
  <c r="A724" i="12"/>
  <c r="A258" i="13"/>
  <c r="A1179" i="14"/>
  <c r="A191" i="12"/>
  <c r="A68" i="12"/>
  <c r="A770" i="13"/>
  <c r="A597" i="14"/>
  <c r="A1034" i="13"/>
  <c r="A131" i="14"/>
  <c r="A951" i="14"/>
  <c r="A751" i="14"/>
  <c r="A1072" i="14"/>
  <c r="A1251" i="12"/>
  <c r="A1033" i="14"/>
  <c r="A1013" i="12"/>
  <c r="A1062" i="12"/>
  <c r="A1039" i="12"/>
  <c r="A296" i="12"/>
  <c r="A1306" i="12"/>
  <c r="A556" i="12"/>
  <c r="A1320" i="13"/>
  <c r="A1187" i="13"/>
  <c r="A592" i="14"/>
  <c r="A908" i="13"/>
  <c r="A889" i="14"/>
  <c r="A1312" i="13"/>
  <c r="A1263" i="12"/>
  <c r="A835" i="13"/>
  <c r="A1220" i="13"/>
  <c r="A901" i="13"/>
  <c r="A209" i="12"/>
  <c r="A1120" i="14"/>
  <c r="A208" i="14"/>
  <c r="A254" i="14"/>
  <c r="A1335" i="12"/>
  <c r="A639" i="13"/>
  <c r="A854" i="12"/>
  <c r="A1093" i="12"/>
  <c r="A1345" i="13"/>
  <c r="A201" i="14"/>
  <c r="A246" i="13"/>
  <c r="A339" i="14"/>
  <c r="A484" i="14"/>
  <c r="A262" i="12"/>
  <c r="A554" i="13"/>
  <c r="A775" i="14"/>
  <c r="A1245" i="13"/>
  <c r="A655" i="12"/>
  <c r="A1143" i="12"/>
  <c r="A930" i="13"/>
  <c r="A435" i="14"/>
  <c r="A913" i="12"/>
  <c r="A1096" i="12"/>
  <c r="A681" i="14"/>
  <c r="A580" i="14"/>
  <c r="A596" i="13"/>
  <c r="A1326" i="13"/>
  <c r="A87" i="12"/>
  <c r="A829" i="13"/>
  <c r="A1164" i="14"/>
  <c r="A385" i="13"/>
  <c r="A376" i="14"/>
  <c r="A1224" i="14"/>
  <c r="A51" i="13"/>
  <c r="A159" i="12"/>
  <c r="A645" i="12"/>
  <c r="A285" i="13"/>
  <c r="A750" i="13"/>
  <c r="A388" i="13"/>
  <c r="A1108" i="12"/>
  <c r="A430" i="14"/>
  <c r="A191" i="14"/>
  <c r="A160" i="14"/>
  <c r="A1116" i="12"/>
  <c r="A235" i="14"/>
  <c r="A985" i="12"/>
  <c r="A574" i="14"/>
  <c r="A39" i="14"/>
  <c r="A318" i="13"/>
  <c r="A174" i="12"/>
  <c r="A970" i="14"/>
  <c r="A4" i="13"/>
  <c r="A304" i="12"/>
  <c r="A476" i="12"/>
  <c r="A737" i="12"/>
  <c r="A546" i="12"/>
  <c r="A355" i="14"/>
  <c r="A995" i="14"/>
  <c r="A425" i="12"/>
  <c r="A975" i="14"/>
  <c r="A926" i="13"/>
  <c r="A1321" i="12"/>
  <c r="A997" i="14"/>
  <c r="A784" i="13"/>
  <c r="A43" i="12"/>
  <c r="A458" i="12"/>
  <c r="A1108" i="13"/>
  <c r="A237" i="14"/>
  <c r="A699" i="13"/>
  <c r="A456" i="13"/>
  <c r="A1184" i="12"/>
  <c r="A109" i="12"/>
  <c r="A76" i="12"/>
  <c r="A791" i="13"/>
  <c r="A475" i="13"/>
  <c r="A1129" i="12"/>
  <c r="A1221" i="14"/>
  <c r="A1137" i="12"/>
  <c r="A264" i="12"/>
  <c r="A45" i="13"/>
  <c r="A335" i="13"/>
  <c r="A918" i="13"/>
  <c r="A950" i="13"/>
  <c r="A370" i="12"/>
  <c r="A354" i="13"/>
  <c r="A799" i="13"/>
  <c r="A68" i="13"/>
  <c r="A105" i="13"/>
  <c r="A201" i="12"/>
  <c r="A330" i="12"/>
  <c r="A309" i="12"/>
  <c r="A12" i="12"/>
  <c r="A384" i="13"/>
  <c r="A800" i="12"/>
  <c r="A438" i="12"/>
  <c r="A308" i="14"/>
  <c r="A221" i="14"/>
  <c r="A239" i="13"/>
  <c r="A900" i="14"/>
  <c r="A1350" i="14"/>
  <c r="A10" i="14"/>
  <c r="A329" i="13"/>
  <c r="A495" i="13"/>
  <c r="A979" i="14"/>
  <c r="A64" i="13"/>
  <c r="A950" i="12"/>
  <c r="A1030" i="13"/>
  <c r="A974" i="12"/>
  <c r="A870" i="13"/>
  <c r="A893" i="14"/>
  <c r="A972" i="12"/>
  <c r="A896" i="12"/>
  <c r="A485" i="12"/>
  <c r="A281" i="12"/>
  <c r="A1042" i="13"/>
  <c r="A334" i="12"/>
  <c r="A231" i="13"/>
  <c r="A358" i="14"/>
  <c r="A35" i="12"/>
  <c r="A1317" i="12"/>
  <c r="A1031" i="12"/>
  <c r="A774" i="12"/>
  <c r="A45" i="14"/>
  <c r="A838" i="12"/>
  <c r="A1200" i="14"/>
  <c r="A483" i="13"/>
  <c r="A467" i="14"/>
  <c r="A122" i="14"/>
  <c r="A1320" i="12"/>
  <c r="A274" i="12"/>
  <c r="A883" i="13"/>
  <c r="A893" i="13"/>
  <c r="A1201" i="12"/>
  <c r="A276" i="13"/>
  <c r="A472" i="12"/>
  <c r="A608" i="13"/>
  <c r="A549" i="12"/>
  <c r="A754" i="12"/>
  <c r="A660" i="12"/>
  <c r="A22" i="12"/>
  <c r="A743" i="14"/>
  <c r="A860" i="12"/>
  <c r="A1276" i="12"/>
  <c r="A1100" i="13"/>
  <c r="A251" i="13"/>
  <c r="A413" i="14"/>
  <c r="A1259" i="13"/>
  <c r="A224" i="13"/>
  <c r="A91" i="12"/>
  <c r="A766" i="12"/>
  <c r="A751" i="12"/>
  <c r="A1149" i="13"/>
  <c r="A700" i="13"/>
  <c r="A693" i="12"/>
  <c r="A450" i="13"/>
  <c r="A885" i="14"/>
  <c r="A322" i="12"/>
  <c r="A539" i="13"/>
  <c r="A688" i="12"/>
  <c r="A968" i="13"/>
  <c r="A483" i="14"/>
  <c r="A1292" i="14"/>
  <c r="A610" i="13"/>
  <c r="A156" i="14"/>
  <c r="A800" i="14"/>
  <c r="A1066" i="12"/>
  <c r="A917" i="12"/>
  <c r="A1060" i="14"/>
  <c r="A685" i="13"/>
  <c r="A416" i="13"/>
  <c r="A949" i="12"/>
  <c r="A89" i="13"/>
  <c r="A81" i="13"/>
  <c r="A801" i="12"/>
  <c r="A809" i="14"/>
  <c r="A724" i="14"/>
  <c r="A137" i="13"/>
  <c r="A1284" i="14"/>
  <c r="A1310" i="13"/>
  <c r="A1014" i="13"/>
  <c r="A329" i="12"/>
  <c r="A80" i="12"/>
  <c r="A905" i="13"/>
  <c r="A741" i="12"/>
  <c r="A709" i="14"/>
  <c r="A1297" i="14"/>
  <c r="A667" i="12"/>
  <c r="A1101" i="13"/>
  <c r="A1025" i="13"/>
  <c r="A916" i="13"/>
  <c r="A939" i="13"/>
  <c r="A821" i="13"/>
  <c r="A1029" i="12"/>
  <c r="A1276" i="14"/>
  <c r="A592" i="13"/>
  <c r="A860" i="14"/>
  <c r="A1274" i="13"/>
  <c r="A1259" i="12"/>
  <c r="A996" i="14"/>
  <c r="A74" i="13"/>
  <c r="A151" i="12"/>
  <c r="A218" i="14"/>
  <c r="A1284" i="13"/>
  <c r="A1235" i="14"/>
  <c r="A271" i="13"/>
  <c r="A709" i="12"/>
  <c r="A312" i="13"/>
  <c r="A845" i="12"/>
  <c r="A826" i="12"/>
  <c r="A666" i="12"/>
  <c r="A843" i="14"/>
  <c r="A613" i="12"/>
  <c r="A87" i="14"/>
  <c r="A960" i="13"/>
  <c r="A21" i="14"/>
  <c r="A613" i="14"/>
  <c r="A1341" i="13"/>
  <c r="A1231" i="13"/>
  <c r="A942" i="14"/>
  <c r="A1035" i="12"/>
  <c r="A1004" i="12"/>
  <c r="A1017" i="12"/>
  <c r="A1031" i="14"/>
  <c r="A941" i="14"/>
  <c r="A1049" i="13"/>
  <c r="A120" i="14"/>
  <c r="A421" i="14"/>
  <c r="A546" i="14"/>
  <c r="A629" i="13"/>
  <c r="A66" i="13"/>
  <c r="A564" i="13"/>
  <c r="A542" i="13"/>
  <c r="A1279" i="12"/>
  <c r="A138" i="14"/>
  <c r="A1164" i="12"/>
  <c r="A20" i="14"/>
  <c r="A43" i="14"/>
  <c r="A291" i="13"/>
  <c r="A1318" i="12"/>
  <c r="A22" i="13"/>
  <c r="A755" i="14"/>
  <c r="A1095" i="14"/>
  <c r="A541" i="13"/>
  <c r="A274" i="13"/>
  <c r="A155" i="14"/>
  <c r="A1205" i="12"/>
  <c r="A420" i="12"/>
  <c r="A871" i="14"/>
  <c r="A245" i="14"/>
  <c r="A305" i="14"/>
  <c r="A601" i="13"/>
  <c r="A188" i="14"/>
  <c r="A738" i="13"/>
  <c r="A1187" i="14"/>
  <c r="A268" i="14"/>
  <c r="A414" i="13"/>
  <c r="A1126" i="14"/>
  <c r="A17" i="13"/>
  <c r="A1347" i="14"/>
  <c r="A256" i="14"/>
  <c r="A1075" i="12"/>
  <c r="A1184" i="13"/>
  <c r="A1008" i="12"/>
  <c r="A829" i="12"/>
  <c r="A849" i="13"/>
  <c r="A972" i="13"/>
  <c r="A9" i="13"/>
  <c r="A689" i="13"/>
  <c r="A1293" i="12"/>
  <c r="A599" i="14"/>
  <c r="A1241" i="13"/>
  <c r="A256" i="13"/>
  <c r="A17" i="12"/>
  <c r="A813" i="12"/>
  <c r="A1091" i="13"/>
  <c r="A872" i="12"/>
  <c r="A216" i="13"/>
  <c r="A1260" i="12"/>
  <c r="A438" i="14"/>
  <c r="A933" i="12"/>
  <c r="A537" i="12"/>
  <c r="A646" i="13"/>
  <c r="A976" i="14"/>
  <c r="A1299" i="14"/>
  <c r="A225" i="14"/>
  <c r="A1317" i="13"/>
  <c r="A759" i="12"/>
  <c r="A431" i="12"/>
  <c r="A396" i="14"/>
  <c r="A925" i="12"/>
  <c r="A464" i="13"/>
  <c r="A537" i="14"/>
  <c r="A896" i="14"/>
  <c r="A743" i="12"/>
  <c r="A1068" i="12"/>
  <c r="A434" i="14"/>
  <c r="A1046" i="12"/>
  <c r="A1145" i="12"/>
  <c r="A497" i="12"/>
  <c r="A43" i="13"/>
  <c r="A389" i="13"/>
  <c r="A921" i="12"/>
  <c r="A62" i="13"/>
  <c r="A788" i="14"/>
  <c r="A1159" i="12"/>
  <c r="A917" i="13"/>
  <c r="A283" i="14"/>
  <c r="A526" i="13"/>
  <c r="A399" i="14"/>
  <c r="A55" i="13"/>
  <c r="A188" i="12"/>
  <c r="A1205" i="14"/>
  <c r="A624" i="12"/>
  <c r="A1149" i="12"/>
  <c r="A1042" i="14"/>
  <c r="A475" i="12"/>
  <c r="A1225" i="13"/>
  <c r="A1292" i="12"/>
  <c r="A137" i="14"/>
  <c r="A804" i="13"/>
  <c r="A381" i="12"/>
  <c r="A574" i="12"/>
  <c r="A1204" i="13"/>
  <c r="A120" i="12"/>
  <c r="A72" i="12"/>
  <c r="A655" i="14"/>
  <c r="A233" i="13"/>
  <c r="A155" i="13"/>
  <c r="A560" i="14"/>
  <c r="A442" i="12"/>
  <c r="A731" i="12"/>
  <c r="A1226" i="13"/>
  <c r="A85" i="13"/>
  <c r="A326" i="13"/>
  <c r="A679" i="13"/>
  <c r="A293" i="13"/>
  <c r="A616" i="12"/>
  <c r="A535" i="12"/>
  <c r="A47" i="12"/>
  <c r="A149" i="12"/>
  <c r="A372" i="12"/>
  <c r="A391" i="12"/>
  <c r="A187" i="12"/>
  <c r="A1221" i="13"/>
  <c r="A410" i="13"/>
  <c r="A410" i="12"/>
  <c r="A1034" i="12"/>
  <c r="A1180" i="12"/>
  <c r="A214" i="12"/>
  <c r="A1051" i="14"/>
  <c r="A716" i="12"/>
  <c r="A392" i="14"/>
  <c r="A724" i="13"/>
  <c r="A943" i="12"/>
  <c r="A889" i="12"/>
  <c r="A71" i="14"/>
  <c r="A516" i="12"/>
  <c r="A96" i="13"/>
  <c r="A975" i="13"/>
  <c r="A408" i="13"/>
  <c r="A122" i="13"/>
  <c r="A589" i="13"/>
  <c r="A813" i="13"/>
  <c r="A1076" i="12"/>
  <c r="A451" i="12"/>
  <c r="A1081" i="12"/>
  <c r="A12" i="14"/>
  <c r="A1181" i="13"/>
  <c r="A704" i="12"/>
  <c r="A159" i="14"/>
  <c r="A1167" i="14"/>
  <c r="A1288" i="13"/>
  <c r="A509" i="13"/>
  <c r="A138" i="12"/>
  <c r="A295" i="14"/>
  <c r="A983" i="13"/>
  <c r="A567" i="14"/>
  <c r="A824" i="12"/>
  <c r="A288" i="14"/>
  <c r="A783" i="12"/>
  <c r="A458" i="13"/>
  <c r="A1301" i="14"/>
  <c r="A537" i="13"/>
  <c r="A974" i="14"/>
  <c r="A638" i="14"/>
  <c r="A793" i="13"/>
  <c r="A134" i="14"/>
  <c r="A879" i="14"/>
  <c r="A234" i="13"/>
  <c r="A408" i="14"/>
  <c r="A563" i="14"/>
  <c r="A489" i="13"/>
  <c r="A551" i="13"/>
  <c r="A579" i="14"/>
  <c r="A881" i="13"/>
  <c r="A8" i="12"/>
  <c r="A831" i="14"/>
  <c r="A622" i="13"/>
  <c r="A1091" i="14"/>
  <c r="A1268" i="12"/>
  <c r="A184" i="14"/>
  <c r="A699" i="12"/>
  <c r="A167" i="13"/>
  <c r="A110" i="13"/>
  <c r="A237" i="13"/>
  <c r="A722" i="13"/>
  <c r="A604" i="13"/>
  <c r="A74" i="12"/>
  <c r="A185" i="13"/>
  <c r="A606" i="14"/>
  <c r="A101" i="14"/>
  <c r="A708" i="14"/>
  <c r="A1016" i="14"/>
  <c r="A454" i="12"/>
  <c r="A642" i="13"/>
  <c r="A1349" i="13"/>
  <c r="A29" i="14"/>
  <c r="A181" i="13"/>
  <c r="A742" i="12"/>
  <c r="A549" i="14"/>
  <c r="A560" i="13"/>
  <c r="A288" i="13"/>
  <c r="A168" i="14"/>
  <c r="A1135" i="14"/>
  <c r="A375" i="13"/>
  <c r="A958" i="14"/>
  <c r="A22" i="14"/>
  <c r="A734" i="13"/>
  <c r="A563" i="12"/>
  <c r="A614" i="12"/>
  <c r="A142" i="12"/>
  <c r="A67" i="14"/>
  <c r="A706" i="14"/>
  <c r="A1060" i="13"/>
  <c r="A270" i="13"/>
  <c r="A675" i="14"/>
  <c r="A1274" i="12"/>
  <c r="A8" i="13"/>
  <c r="A501" i="12"/>
  <c r="A849" i="12"/>
  <c r="A967" i="13"/>
  <c r="A1237" i="14"/>
  <c r="A380" i="13"/>
  <c r="A797" i="14"/>
  <c r="A766" i="14"/>
  <c r="A343" i="13"/>
  <c r="A1310" i="12"/>
  <c r="A129" i="12"/>
  <c r="A1121" i="12"/>
  <c r="A981" i="13"/>
  <c r="A213" i="12"/>
  <c r="A26" i="12"/>
  <c r="A391" i="13"/>
  <c r="A534" i="13"/>
  <c r="A1266" i="13"/>
  <c r="A463" i="14"/>
  <c r="A1134" i="14"/>
  <c r="A330" i="13"/>
  <c r="A595" i="12"/>
  <c r="A945" i="12"/>
  <c r="A1196" i="14"/>
  <c r="A124" i="13"/>
  <c r="A1164" i="13"/>
  <c r="A788" i="12"/>
  <c r="A1238" i="12"/>
  <c r="A620" i="13"/>
  <c r="A13" i="13"/>
  <c r="A213" i="14"/>
  <c r="A192" i="13"/>
  <c r="A146" i="12"/>
  <c r="A135" i="14"/>
  <c r="A891" i="12"/>
  <c r="A885" i="13"/>
  <c r="A874" i="14"/>
  <c r="A488" i="13"/>
  <c r="A156" i="12"/>
  <c r="A439" i="13"/>
  <c r="A993" i="13"/>
  <c r="A643" i="12"/>
  <c r="A381" i="14"/>
  <c r="A31" i="13"/>
  <c r="A95" i="14"/>
  <c r="A864" i="14"/>
  <c r="A381" i="13"/>
  <c r="A692" i="14"/>
  <c r="A585" i="13"/>
  <c r="A247" i="12"/>
  <c r="A476" i="13"/>
  <c r="A406" i="12"/>
  <c r="A1009" i="14"/>
  <c r="A383" i="13"/>
  <c r="A656" i="12"/>
  <c r="A1060" i="12"/>
  <c r="A1075" i="14"/>
  <c r="A41" i="12"/>
  <c r="A847" i="13"/>
  <c r="A649" i="12"/>
  <c r="A1141" i="13"/>
  <c r="A1009" i="13"/>
  <c r="A955" i="12"/>
  <c r="A443" i="12"/>
  <c r="A150" i="14"/>
  <c r="A1074" i="14"/>
  <c r="A216" i="14"/>
  <c r="A934" i="12"/>
  <c r="A538" i="14"/>
  <c r="A100" i="13"/>
  <c r="A1158" i="13"/>
  <c r="A181" i="12"/>
  <c r="A1329" i="12"/>
  <c r="A385" i="12"/>
  <c r="A459" i="12"/>
  <c r="A62" i="14"/>
  <c r="A620" i="14"/>
  <c r="A154" i="13"/>
  <c r="A1342" i="12"/>
  <c r="A1305" i="12"/>
  <c r="A46" i="14"/>
  <c r="A316" i="13"/>
  <c r="A985" i="13"/>
  <c r="A1297" i="12"/>
  <c r="A642" i="12"/>
  <c r="A1087" i="13"/>
  <c r="A1185" i="14"/>
  <c r="A955" i="14"/>
  <c r="A497" i="14"/>
  <c r="A770" i="14"/>
  <c r="A891" i="14"/>
  <c r="A805" i="12"/>
  <c r="A617" i="13"/>
  <c r="A1097" i="14"/>
  <c r="A921" i="13"/>
  <c r="A324" i="13"/>
  <c r="A464" i="14"/>
  <c r="A759" i="14"/>
  <c r="A909" i="14"/>
  <c r="A674" i="13"/>
  <c r="A1280" i="14"/>
  <c r="A629" i="14"/>
  <c r="A1295" i="14"/>
  <c r="A930" i="12"/>
  <c r="A979" i="12"/>
  <c r="A466" i="12"/>
  <c r="A721" i="14"/>
  <c r="A485" i="14"/>
  <c r="A64" i="12"/>
  <c r="A591" i="13"/>
  <c r="A714" i="14"/>
  <c r="A1122" i="12"/>
  <c r="A172" i="12"/>
  <c r="A346" i="12"/>
  <c r="A285" i="14"/>
  <c r="A435" i="12"/>
  <c r="A324" i="14"/>
  <c r="A1343" i="14"/>
  <c r="A459" i="13"/>
  <c r="A1055" i="13"/>
  <c r="A1291" i="12"/>
  <c r="A230" i="14"/>
  <c r="A847" i="14"/>
  <c r="A185" i="14"/>
  <c r="A387" i="13"/>
  <c r="A1105" i="12"/>
  <c r="A201" i="13"/>
  <c r="A4" i="14"/>
  <c r="A1233" i="12"/>
  <c r="A1271" i="13"/>
  <c r="A322" i="14"/>
  <c r="A730" i="14"/>
  <c r="A1163" i="13"/>
  <c r="A426" i="14"/>
  <c r="A33" i="14"/>
  <c r="A426" i="12"/>
  <c r="A20" i="12"/>
  <c r="A14" i="14"/>
  <c r="A818" i="14"/>
  <c r="A1038" i="13"/>
  <c r="A1041" i="14"/>
  <c r="A722" i="14"/>
  <c r="A1330" i="13"/>
  <c r="A1179" i="12"/>
  <c r="A676" i="12"/>
  <c r="A1013" i="14"/>
  <c r="A964" i="13"/>
  <c r="A431" i="13"/>
  <c r="A572" i="14"/>
  <c r="A945" i="14"/>
  <c r="A268" i="13"/>
  <c r="A179" i="13"/>
  <c r="A1272" i="12"/>
  <c r="A745" i="14"/>
  <c r="A467" i="13"/>
  <c r="A412" i="13"/>
  <c r="A50" i="13"/>
  <c r="A597" i="12"/>
  <c r="A545" i="14"/>
  <c r="A106" i="13"/>
  <c r="A792" i="13"/>
  <c r="A871" i="13"/>
  <c r="A700" i="14"/>
  <c r="A592" i="12"/>
  <c r="A351" i="12"/>
  <c r="A350" i="12"/>
  <c r="A16" i="12"/>
  <c r="A864" i="13"/>
  <c r="A933" i="13"/>
  <c r="A780" i="14"/>
  <c r="A633" i="12"/>
  <c r="A231" i="12"/>
  <c r="A1146" i="13"/>
  <c r="A970" i="12"/>
  <c r="A220" i="13"/>
  <c r="A164" i="12"/>
  <c r="A13" i="12"/>
  <c r="A404" i="13"/>
  <c r="A313" i="13"/>
  <c r="A575" i="14"/>
  <c r="A199" i="13"/>
  <c r="A142" i="13"/>
  <c r="A1210" i="14"/>
  <c r="A1197" i="13"/>
  <c r="A147" i="12"/>
  <c r="A397" i="13"/>
  <c r="A246" i="14"/>
  <c r="A1197" i="12"/>
  <c r="A1330" i="12"/>
  <c r="A991" i="12"/>
  <c r="A876" i="14"/>
  <c r="A714" i="13"/>
  <c r="A270" i="12"/>
  <c r="A895" i="14"/>
  <c r="A967" i="14"/>
  <c r="A131" i="13"/>
  <c r="A530" i="13"/>
  <c r="A926" i="14"/>
  <c r="A471" i="14"/>
  <c r="A1181" i="12"/>
  <c r="A1222" i="12"/>
  <c r="A1054" i="12"/>
  <c r="A116" i="12"/>
  <c r="A217" i="13"/>
  <c r="A839" i="14"/>
  <c r="A1171" i="12"/>
  <c r="A80" i="13"/>
  <c r="A317" i="14"/>
  <c r="A326" i="12"/>
  <c r="A1112" i="12"/>
  <c r="A168" i="12"/>
  <c r="A817" i="14"/>
  <c r="A1160" i="13"/>
  <c r="A172" i="13"/>
  <c r="A135" i="12"/>
  <c r="A799" i="12"/>
  <c r="A996" i="13"/>
  <c r="A1180" i="14"/>
  <c r="A125" i="13"/>
  <c r="A1013" i="13"/>
  <c r="A581" i="12"/>
  <c r="A716" i="13"/>
  <c r="A171" i="13"/>
  <c r="A701" i="12"/>
  <c r="A392" i="13"/>
  <c r="A1176" i="14"/>
  <c r="A1030" i="12"/>
  <c r="A180" i="12"/>
  <c r="A1262" i="13"/>
  <c r="A196" i="14"/>
  <c r="A81" i="14"/>
  <c r="A606" i="13"/>
  <c r="A955" i="13"/>
  <c r="A1337" i="14"/>
  <c r="A647" i="14"/>
  <c r="A758" i="13"/>
  <c r="A559" i="14"/>
  <c r="A464" i="12"/>
  <c r="A308" i="13"/>
  <c r="A1096" i="14"/>
  <c r="A416" i="12"/>
  <c r="A151" i="14"/>
  <c r="A1088" i="13"/>
  <c r="A374" i="13"/>
  <c r="A1092" i="13"/>
  <c r="A88" i="14"/>
  <c r="A1225" i="14"/>
  <c r="A1305" i="13"/>
  <c r="A1291" i="14"/>
  <c r="A209" i="13"/>
  <c r="A276" i="14"/>
  <c r="A1146" i="12"/>
  <c r="A1000" i="12"/>
  <c r="A454" i="14"/>
  <c r="A1281" i="13"/>
  <c r="A1310" i="14"/>
  <c r="A768" i="14"/>
  <c r="A1108" i="14"/>
  <c r="A1160" i="12"/>
  <c r="A1199" i="12"/>
  <c r="A638" i="13"/>
  <c r="A541" i="12"/>
  <c r="A5" i="13"/>
  <c r="A695" i="12"/>
  <c r="A935" i="12"/>
  <c r="A162" i="12"/>
  <c r="A1174" i="13"/>
  <c r="A1247" i="13"/>
  <c r="A514" i="12"/>
  <c r="A762" i="14"/>
  <c r="A1150" i="12"/>
  <c r="A301" i="14"/>
  <c r="A749" i="14"/>
  <c r="A868" i="13"/>
  <c r="A264" i="14"/>
  <c r="A75" i="13"/>
  <c r="A575" i="12"/>
  <c r="A121" i="14"/>
  <c r="A837" i="12"/>
  <c r="A959" i="12"/>
  <c r="A1324" i="14"/>
  <c r="A20" i="13"/>
  <c r="A1322" i="14"/>
  <c r="A1237" i="12"/>
  <c r="A635" i="14"/>
  <c r="A281" i="13"/>
  <c r="A789" i="12"/>
  <c r="A784" i="14"/>
  <c r="A226" i="13"/>
  <c r="A946" i="12"/>
  <c r="A646" i="14"/>
  <c r="A54" i="14"/>
  <c r="A1313" i="12"/>
  <c r="A1101" i="12"/>
  <c r="A518" i="13"/>
  <c r="A505" i="12"/>
  <c r="A206" i="13"/>
  <c r="A897" i="12"/>
  <c r="A458" i="14"/>
  <c r="A1051" i="12"/>
  <c r="A943" i="14"/>
  <c r="A1196" i="13"/>
  <c r="A1279" i="14"/>
  <c r="A643" i="14"/>
  <c r="A146" i="14"/>
  <c r="A405" i="14"/>
  <c r="A1145" i="13"/>
  <c r="A842" i="12"/>
  <c r="A176" i="12"/>
  <c r="A901" i="12"/>
  <c r="A1047" i="14"/>
  <c r="A716" i="14"/>
  <c r="A179" i="14"/>
  <c r="A283" i="12"/>
  <c r="A880" i="14"/>
  <c r="A509" i="14"/>
  <c r="A1029" i="13"/>
  <c r="A1209" i="13"/>
  <c r="A455" i="14"/>
  <c r="A1118" i="14"/>
  <c r="A610" i="14"/>
  <c r="A1095" i="13"/>
  <c r="A34" i="12"/>
  <c r="A271" i="14"/>
  <c r="A355" i="13"/>
  <c r="A512" i="12"/>
  <c r="A200" i="12"/>
  <c r="A881" i="12"/>
  <c r="A1308" i="12"/>
  <c r="A1247" i="12"/>
  <c r="A49" i="14"/>
  <c r="A380" i="14"/>
  <c r="A729" i="12"/>
  <c r="A479" i="13"/>
  <c r="A1141" i="12"/>
  <c r="A413" i="12"/>
  <c r="A1042" i="12"/>
  <c r="A396" i="13"/>
  <c r="A1287" i="14"/>
  <c r="A271" i="12"/>
  <c r="A1347" i="13"/>
  <c r="A1234" i="13"/>
  <c r="A317" i="13"/>
  <c r="A517" i="12"/>
  <c r="A1297" i="13"/>
  <c r="A1275" i="14"/>
  <c r="A251" i="12"/>
  <c r="A1162" i="14"/>
  <c r="A1325" i="14"/>
  <c r="A1214" i="13"/>
  <c r="A367" i="12"/>
  <c r="A745" i="12"/>
  <c r="A631" i="14"/>
  <c r="A501" i="14"/>
  <c r="A734" i="12"/>
  <c r="A384" i="14"/>
  <c r="A305" i="13"/>
  <c r="A258" i="12"/>
  <c r="A591" i="12"/>
  <c r="A595" i="13"/>
  <c r="A230" i="13"/>
  <c r="A1079" i="14"/>
  <c r="A600" i="13"/>
  <c r="A626" i="12"/>
  <c r="A658" i="13"/>
  <c r="A459" i="14"/>
  <c r="A234" i="12"/>
  <c r="A1230" i="14"/>
  <c r="A401" i="13"/>
  <c r="A1304" i="14"/>
  <c r="A188" i="13"/>
  <c r="A826" i="13"/>
  <c r="A576" i="12"/>
  <c r="A126" i="14"/>
  <c r="A618" i="14"/>
  <c r="A567" i="12"/>
  <c r="A718" i="12"/>
  <c r="A1010" i="13"/>
  <c r="A705" i="14"/>
  <c r="A13" i="14"/>
  <c r="A447" i="14"/>
  <c r="A272" i="13"/>
  <c r="A1118" i="13"/>
  <c r="A272" i="14"/>
  <c r="A47" i="14"/>
  <c r="A231" i="14"/>
  <c r="A729" i="14"/>
  <c r="A366" i="13"/>
  <c r="A418" i="12"/>
  <c r="A1113" i="14"/>
  <c r="A793" i="14"/>
  <c r="A787" i="12"/>
  <c r="A241" i="14"/>
  <c r="A533" i="14"/>
  <c r="A1116" i="14"/>
  <c r="A218" i="13"/>
  <c r="A917" i="14"/>
  <c r="A1084" i="13"/>
  <c r="A712" i="12"/>
  <c r="A362" i="12"/>
  <c r="A492" i="12"/>
  <c r="A700" i="12"/>
  <c r="A1055" i="12"/>
  <c r="A92" i="13"/>
  <c r="A1229" i="12"/>
  <c r="A229" i="13"/>
  <c r="A824" i="14"/>
  <c r="A1021" i="12"/>
  <c r="A984" i="14"/>
  <c r="A413" i="13"/>
  <c r="A938" i="12"/>
  <c r="A1056" i="12"/>
  <c r="A243" i="13"/>
  <c r="A226" i="14"/>
  <c r="A238" i="12"/>
  <c r="A314" i="12"/>
  <c r="A980" i="14"/>
  <c r="A1049" i="12"/>
  <c r="A895" i="12"/>
  <c r="A443" i="14"/>
  <c r="A360" i="13"/>
  <c r="A345" i="14"/>
  <c r="A1066" i="13"/>
  <c r="A968" i="12"/>
  <c r="A751" i="13"/>
  <c r="A166" i="14"/>
  <c r="A1071" i="13"/>
  <c r="A597" i="13"/>
  <c r="A1235" i="13"/>
  <c r="A485" i="13"/>
  <c r="A929" i="13"/>
  <c r="A360" i="14"/>
  <c r="A510" i="14"/>
  <c r="A472" i="14"/>
  <c r="A1139" i="14"/>
  <c r="A942" i="12"/>
  <c r="A684" i="12"/>
  <c r="A717" i="12"/>
  <c r="A1216" i="13"/>
  <c r="A931" i="12"/>
  <c r="A870" i="12"/>
  <c r="A184" i="12"/>
  <c r="A788" i="13"/>
  <c r="A71" i="13"/>
  <c r="A259" i="14"/>
  <c r="A450" i="12"/>
  <c r="A1193" i="12"/>
  <c r="A605" i="12"/>
  <c r="A820" i="13"/>
  <c r="A980" i="12"/>
  <c r="A218" i="12"/>
  <c r="A1026" i="13"/>
  <c r="A949" i="14"/>
  <c r="A651" i="12"/>
  <c r="A264" i="13"/>
  <c r="A1283" i="12"/>
  <c r="A1172" i="13"/>
  <c r="A1050" i="14"/>
  <c r="A962" i="14"/>
  <c r="A918" i="14"/>
  <c r="A1185" i="13"/>
  <c r="A726" i="13"/>
  <c r="A180" i="14"/>
  <c r="A1281" i="12"/>
  <c r="A206" i="14"/>
  <c r="A1138" i="12"/>
  <c r="A1055" i="14"/>
  <c r="A1324" i="13"/>
  <c r="A566" i="12"/>
  <c r="A780" i="12"/>
  <c r="A763" i="12"/>
  <c r="A1134" i="13"/>
  <c r="A346" i="13"/>
  <c r="A562" i="13"/>
  <c r="A984" i="13"/>
  <c r="A967" i="12"/>
  <c r="A530" i="12"/>
  <c r="A759" i="13"/>
  <c r="A764" i="12"/>
  <c r="A551" i="14"/>
  <c r="A541" i="14"/>
  <c r="A14" i="13"/>
  <c r="A1300" i="13"/>
  <c r="A791" i="12"/>
  <c r="A1296" i="14"/>
  <c r="A1183" i="13"/>
  <c r="A250" i="12"/>
  <c r="A650" i="14"/>
  <c r="A1191" i="13"/>
  <c r="A1296" i="12"/>
  <c r="A134" i="12"/>
  <c r="A989" i="13"/>
  <c r="A739" i="14"/>
  <c r="A564" i="12"/>
  <c r="A696" i="14"/>
  <c r="A899" i="12"/>
  <c r="A1325" i="12"/>
  <c r="A1239" i="13"/>
  <c r="A343" i="12"/>
  <c r="A601" i="14"/>
  <c r="A854" i="13"/>
  <c r="A1217" i="13"/>
  <c r="A1210" i="13"/>
  <c r="A1130" i="14"/>
  <c r="A1316" i="14"/>
  <c r="A875" i="12"/>
  <c r="A649" i="13"/>
  <c r="A735" i="13"/>
  <c r="A76" i="13"/>
  <c r="A292" i="12"/>
  <c r="A634" i="14"/>
  <c r="A1074" i="13"/>
  <c r="A205" i="12"/>
  <c r="A614" i="14"/>
  <c r="A629" i="12"/>
  <c r="A730" i="13"/>
  <c r="A906" i="13"/>
  <c r="A409" i="12"/>
  <c r="A941" i="12"/>
  <c r="A1285" i="12"/>
  <c r="A101" i="13"/>
  <c r="A209" i="14"/>
  <c r="A238" i="13"/>
  <c r="A1325" i="13"/>
  <c r="A747" i="14"/>
  <c r="A530" i="14"/>
  <c r="A630" i="12"/>
  <c r="A375" i="12"/>
  <c r="A1106" i="13"/>
  <c r="A301" i="13"/>
  <c r="A781" i="12"/>
  <c r="A1305" i="14"/>
  <c r="A570" i="13"/>
  <c r="A531" i="12"/>
  <c r="A808" i="13"/>
  <c r="A960" i="14"/>
  <c r="A117" i="14"/>
  <c r="A956" i="12"/>
  <c r="A516" i="13"/>
  <c r="A1088" i="14"/>
  <c r="A1170" i="14"/>
  <c r="A500" i="12"/>
  <c r="A495" i="12"/>
  <c r="A566" i="13"/>
  <c r="A1295" i="13"/>
  <c r="A851" i="13"/>
  <c r="A593" i="12"/>
  <c r="A746" i="12"/>
  <c r="A170" i="13"/>
  <c r="A112" i="12"/>
  <c r="A1233" i="14"/>
  <c r="A125" i="12"/>
  <c r="A650" i="13"/>
  <c r="A29" i="12"/>
  <c r="A8" i="14"/>
  <c r="A395" i="14"/>
  <c r="A739" i="13"/>
  <c r="A109" i="14"/>
  <c r="A618" i="13"/>
  <c r="A245" i="13"/>
  <c r="A239" i="12"/>
  <c r="A196" i="12"/>
  <c r="A796" i="13"/>
  <c r="A850" i="13"/>
  <c r="A924" i="12"/>
  <c r="A172" i="14"/>
  <c r="A922" i="12"/>
  <c r="A1043" i="14"/>
  <c r="A762" i="13"/>
  <c r="A267" i="12"/>
  <c r="A833" i="12"/>
  <c r="A60" i="14"/>
  <c r="A885" i="12"/>
  <c r="A260" i="14"/>
  <c r="A81" i="12"/>
  <c r="A717" i="13"/>
  <c r="A1079" i="13"/>
  <c r="A59" i="14"/>
  <c r="A1093" i="14"/>
  <c r="A616" i="14"/>
  <c r="A951" i="13"/>
  <c r="A1351" i="13"/>
  <c r="A1159" i="14"/>
  <c r="A613" i="13"/>
  <c r="A1137" i="13"/>
  <c r="A210" i="12"/>
  <c r="A966" i="12"/>
  <c r="A508" i="12"/>
  <c r="A42" i="13"/>
  <c r="A1337" i="13"/>
  <c r="A349" i="14"/>
  <c r="A963" i="14"/>
  <c r="A1026" i="14"/>
  <c r="A667" i="14"/>
  <c r="A1033" i="13"/>
  <c r="A884" i="12"/>
  <c r="A1229" i="13"/>
  <c r="A1071" i="12"/>
  <c r="A1321" i="13"/>
  <c r="A999" i="12"/>
  <c r="A976" i="13"/>
  <c r="A987" i="13"/>
  <c r="A6" i="13"/>
  <c r="A1067" i="14"/>
  <c r="A825" i="12"/>
  <c r="A433" i="12"/>
  <c r="A280" i="13"/>
  <c r="A922" i="14"/>
  <c r="A1324" i="12"/>
  <c r="A220" i="12"/>
  <c r="A1092" i="12"/>
  <c r="A51" i="14"/>
  <c r="A1043" i="13"/>
  <c r="A776" i="13"/>
  <c r="A1012" i="13"/>
  <c r="A110" i="12"/>
  <c r="A1250" i="13"/>
  <c r="A720" i="14"/>
  <c r="A763" i="14"/>
  <c r="A606" i="12"/>
  <c r="A430" i="12"/>
  <c r="A539" i="12"/>
  <c r="A359" i="12"/>
  <c r="A225" i="13"/>
  <c r="A474" i="13"/>
  <c r="A1016" i="13"/>
  <c r="A674" i="14"/>
  <c r="A1029" i="14"/>
  <c r="A720" i="13"/>
  <c r="A246" i="12"/>
  <c r="A593" i="13"/>
  <c r="A1179" i="13"/>
  <c r="A1014" i="14"/>
  <c r="A1192" i="12"/>
  <c r="A513" i="12"/>
  <c r="A284" i="12"/>
  <c r="A1125" i="12"/>
  <c r="A543" i="12"/>
  <c r="A479" i="12"/>
  <c r="A492" i="14"/>
  <c r="A1188" i="12"/>
  <c r="A113" i="14"/>
  <c r="A658" i="12"/>
  <c r="A6" i="12"/>
  <c r="A510" i="13"/>
  <c r="A42" i="12"/>
  <c r="A200" i="13"/>
  <c r="A584" i="14"/>
  <c r="A1195" i="12"/>
  <c r="A292" i="14"/>
  <c r="A1291" i="13"/>
  <c r="A162" i="13"/>
  <c r="A663" i="14"/>
  <c r="A1346" i="13"/>
  <c r="A1072" i="13"/>
  <c r="A1150" i="13"/>
  <c r="A156" i="13"/>
  <c r="A293" i="12"/>
  <c r="A1056" i="13"/>
  <c r="A84" i="13"/>
  <c r="A1147" i="12"/>
  <c r="A213" i="13"/>
  <c r="A585" i="14"/>
  <c r="A1274" i="14"/>
  <c r="A522" i="12"/>
  <c r="A1256" i="13"/>
  <c r="A897" i="13"/>
  <c r="A1058" i="13"/>
  <c r="A25" i="12"/>
  <c r="A937" i="14"/>
  <c r="A822" i="13"/>
  <c r="A1058" i="12"/>
  <c r="A639" i="14"/>
  <c r="A966" i="14"/>
  <c r="A314" i="14"/>
  <c r="A797" i="12"/>
  <c r="A1289" i="12"/>
  <c r="A725" i="13"/>
  <c r="A685" i="14"/>
  <c r="A1085" i="13"/>
  <c r="A543" i="14"/>
  <c r="A572" i="13"/>
  <c r="A696" i="12"/>
  <c r="A1321" i="14"/>
  <c r="A251" i="14"/>
  <c r="A976" i="12"/>
  <c r="A58" i="12"/>
  <c r="A896" i="13"/>
  <c r="A299" i="12"/>
  <c r="A1074" i="12"/>
  <c r="A70" i="12"/>
  <c r="A1109" i="13"/>
  <c r="A1039" i="14"/>
  <c r="A25" i="13"/>
  <c r="A108" i="13"/>
  <c r="A571" i="13"/>
  <c r="A1051" i="13"/>
  <c r="A442" i="13"/>
  <c r="A345" i="12"/>
  <c r="A126" i="13"/>
  <c r="A568" i="13"/>
  <c r="A433" i="14"/>
  <c r="A816" i="12"/>
  <c r="A114" i="14"/>
  <c r="A742" i="13"/>
  <c r="A846" i="13"/>
  <c r="A670" i="14"/>
  <c r="A417" i="12"/>
  <c r="A895" i="13"/>
  <c r="A946" i="13"/>
  <c r="A1001" i="12"/>
  <c r="A1135" i="12"/>
  <c r="A1289" i="14"/>
  <c r="A374" i="12"/>
  <c r="A705" i="12"/>
  <c r="A339" i="13"/>
  <c r="A633" i="13"/>
  <c r="A1295" i="12"/>
  <c r="A121" i="12"/>
  <c r="A146" i="13"/>
  <c r="A880" i="13"/>
  <c r="A616" i="13"/>
  <c r="A554" i="12"/>
  <c r="A1191" i="12"/>
  <c r="A408" i="12"/>
  <c r="A1170" i="12"/>
  <c r="A1064" i="12"/>
  <c r="A513" i="13"/>
  <c r="A384" i="12"/>
  <c r="A1247" i="14"/>
  <c r="A804" i="14"/>
  <c r="A610" i="12"/>
  <c r="A1087" i="12"/>
  <c r="A67" i="13"/>
  <c r="A1285" i="14"/>
  <c r="A333" i="14"/>
  <c r="A542" i="14"/>
  <c r="A654" i="12"/>
  <c r="A1018" i="12"/>
  <c r="A1246" i="14"/>
  <c r="A947" i="13"/>
  <c r="A1035" i="13"/>
  <c r="A1163" i="14"/>
  <c r="A116" i="13"/>
  <c r="A1067" i="13"/>
  <c r="A791" i="14"/>
  <c r="A24" i="12"/>
  <c r="A671" i="14"/>
  <c r="A238" i="14"/>
  <c r="A1067" i="12"/>
  <c r="A714" i="12"/>
  <c r="A1070" i="14"/>
  <c r="A579" i="12"/>
  <c r="A760" i="14"/>
  <c r="A139" i="14"/>
  <c r="A116" i="14"/>
  <c r="A129" i="13"/>
  <c r="A997" i="13"/>
  <c r="A1104" i="12"/>
  <c r="A843" i="13"/>
  <c r="A462" i="14"/>
  <c r="A929" i="14"/>
  <c r="A1280" i="13"/>
  <c r="A776" i="14"/>
  <c r="A1159" i="13"/>
  <c r="A901" i="14"/>
  <c r="A197" i="12"/>
  <c r="A193" i="13"/>
  <c r="A681" i="13"/>
  <c r="A491" i="12"/>
  <c r="A1197" i="14"/>
  <c r="A429" i="12"/>
  <c r="A16" i="13"/>
  <c r="A18" i="14"/>
  <c r="A614" i="13"/>
  <c r="A534" i="14"/>
  <c r="A708" i="12"/>
  <c r="A1166" i="12"/>
  <c r="A1267" i="14"/>
  <c r="A1200" i="12"/>
  <c r="A1331" i="13"/>
  <c r="A180" i="13"/>
  <c r="A310" i="14"/>
  <c r="A56" i="13"/>
  <c r="A1222" i="14"/>
  <c r="A183" i="13"/>
  <c r="A735" i="14"/>
  <c r="A914" i="12"/>
  <c r="A167" i="12"/>
  <c r="A764" i="14"/>
  <c r="A1267" i="12"/>
  <c r="A806" i="14"/>
  <c r="A51" i="12"/>
  <c r="A593" i="14"/>
  <c r="A331" i="13"/>
  <c r="A405" i="13"/>
  <c r="A1280" i="12"/>
  <c r="A746" i="14"/>
  <c r="A899" i="13"/>
  <c r="A667" i="13"/>
  <c r="A1006" i="13"/>
  <c r="A774" i="14"/>
  <c r="A470" i="12"/>
  <c r="A1258" i="13"/>
  <c r="A1142" i="12"/>
  <c r="A9" i="14"/>
  <c r="A310" i="13"/>
  <c r="A214" i="14"/>
  <c r="A356" i="14"/>
  <c r="A1334" i="13"/>
  <c r="A774" i="13"/>
  <c r="A509" i="12"/>
  <c r="A838" i="13"/>
  <c r="A810" i="13"/>
  <c r="A999" i="13"/>
  <c r="A166" i="12"/>
  <c r="A5" i="14"/>
  <c r="A812" i="13"/>
  <c r="A1284" i="12"/>
  <c r="A772" i="14"/>
  <c r="A1000" i="13"/>
  <c r="A421" i="12"/>
  <c r="A672" i="13"/>
  <c r="A441" i="14"/>
  <c r="A960" i="12"/>
  <c r="A906" i="12"/>
  <c r="A308" i="12"/>
  <c r="A599" i="13"/>
  <c r="A1172" i="12"/>
  <c r="A506" i="12"/>
  <c r="A746" i="13"/>
  <c r="A1151" i="14"/>
  <c r="A688" i="13"/>
  <c r="A795" i="14"/>
  <c r="A520" i="14"/>
  <c r="A1117" i="12"/>
  <c r="A1224" i="12"/>
  <c r="A981" i="14"/>
  <c r="A1334" i="14"/>
  <c r="A906" i="14"/>
  <c r="A38" i="12"/>
  <c r="A883" i="14"/>
  <c r="A254" i="12"/>
  <c r="A1218" i="14"/>
  <c r="A224" i="12"/>
  <c r="A187" i="13"/>
  <c r="A1260" i="13"/>
  <c r="A239" i="14"/>
  <c r="A768" i="13"/>
  <c r="A1245" i="14"/>
  <c r="A325" i="14"/>
  <c r="A821" i="14"/>
  <c r="A139" i="13"/>
  <c r="A1255" i="12"/>
  <c r="A1076" i="13"/>
  <c r="A462" i="13"/>
  <c r="A1268" i="14"/>
  <c r="A1210" i="12"/>
  <c r="A296" i="14"/>
  <c r="A1320" i="14"/>
  <c r="A433" i="13"/>
  <c r="A129" i="14"/>
  <c r="A772" i="12"/>
  <c r="A295" i="12"/>
  <c r="A1339" i="12"/>
  <c r="A874" i="12"/>
  <c r="A1012" i="14"/>
  <c r="A330" i="14"/>
  <c r="A535" i="13"/>
  <c r="A1155" i="13"/>
  <c r="A370" i="13"/>
  <c r="A1246" i="12"/>
  <c r="A1326" i="14"/>
  <c r="A249" i="14"/>
  <c r="A29" i="13"/>
  <c r="A720" i="12"/>
  <c r="A189" i="12"/>
  <c r="A279" i="13"/>
  <c r="A1106" i="14"/>
  <c r="A566" i="14"/>
  <c r="A1037" i="14"/>
  <c r="A958" i="13"/>
  <c r="A92" i="14"/>
  <c r="A375" i="14"/>
  <c r="A826" i="14"/>
  <c r="A713" i="13"/>
  <c r="A170" i="12"/>
  <c r="A680" i="14"/>
  <c r="A1100" i="12"/>
  <c r="A293" i="14"/>
  <c r="A796" i="14"/>
  <c r="A992" i="14"/>
  <c r="A1045" i="12"/>
  <c r="A625" i="13"/>
  <c r="A1270" i="13"/>
  <c r="A643" i="13"/>
  <c r="A684" i="13"/>
  <c r="A39" i="12"/>
  <c r="A1171" i="14"/>
  <c r="A233" i="12"/>
  <c r="A858" i="12"/>
  <c r="A809" i="13"/>
  <c r="A451" i="13"/>
  <c r="A1212" i="13"/>
  <c r="A847" i="12"/>
  <c r="A1024" i="13"/>
  <c r="A1318" i="14"/>
  <c r="A484" i="12"/>
  <c r="A149" i="13"/>
  <c r="A795" i="13"/>
  <c r="A837" i="13"/>
  <c r="A124" i="14"/>
  <c r="A950" i="14"/>
  <c r="A559" i="12"/>
  <c r="A712" i="13"/>
  <c r="A481" i="14"/>
  <c r="A1181" i="14"/>
  <c r="A220" i="14"/>
  <c r="A114" i="12"/>
  <c r="A439" i="14"/>
  <c r="A684" i="14"/>
  <c r="A320" i="12"/>
  <c r="A356" i="12"/>
  <c r="A1256" i="14"/>
  <c r="A892" i="14"/>
  <c r="A1117" i="13"/>
  <c r="A1171" i="13"/>
  <c r="A1122" i="14"/>
  <c r="A1220" i="14"/>
  <c r="A651" i="13"/>
  <c r="A1133" i="14"/>
  <c r="A776" i="12"/>
  <c r="A780" i="13"/>
  <c r="A1314" i="14"/>
  <c r="A866" i="12"/>
  <c r="A287" i="12"/>
  <c r="A993" i="12"/>
  <c r="A105" i="12"/>
  <c r="A887" i="14"/>
  <c r="A63" i="12"/>
  <c r="A185" i="12"/>
  <c r="A756" i="13"/>
  <c r="A210" i="14"/>
  <c r="A604" i="12"/>
  <c r="A755" i="13"/>
  <c r="A383" i="12"/>
  <c r="A422" i="13"/>
  <c r="A608" i="12"/>
  <c r="A741" i="14"/>
  <c r="A1045" i="13"/>
  <c r="A555" i="12"/>
  <c r="A799" i="14"/>
  <c r="A424" i="12"/>
  <c r="A110" i="14"/>
  <c r="A841" i="13"/>
  <c r="A316" i="14"/>
  <c r="A1270" i="14"/>
  <c r="A691" i="12"/>
  <c r="A538" i="12"/>
  <c r="A329" i="14"/>
  <c r="A1338" i="12"/>
  <c r="A338" i="12"/>
  <c r="A431" i="14"/>
  <c r="A405" i="12"/>
  <c r="A1135" i="13"/>
  <c r="A72" i="13"/>
  <c r="A929" i="12"/>
  <c r="A856" i="12"/>
  <c r="A534" i="12"/>
  <c r="A529" i="14"/>
  <c r="A1031" i="13"/>
  <c r="A931" i="14"/>
  <c r="A866" i="14"/>
  <c r="A1206" i="12"/>
  <c r="A1343" i="12"/>
  <c r="A1120" i="13"/>
  <c r="A193" i="12"/>
  <c r="A1001" i="14"/>
  <c r="A159" i="13"/>
  <c r="A133" i="12"/>
  <c r="A372" i="13"/>
  <c r="A1022" i="14"/>
  <c r="A62" i="12"/>
  <c r="A1191" i="14"/>
  <c r="A764" i="13"/>
  <c r="A1097" i="13"/>
  <c r="A821" i="12"/>
  <c r="A1209" i="12"/>
  <c r="A426" i="13"/>
  <c r="A980" i="13"/>
  <c r="A863" i="14"/>
  <c r="A988" i="13"/>
  <c r="A1035" i="14"/>
  <c r="A309" i="13"/>
  <c r="A876" i="13"/>
  <c r="A1105" i="13"/>
  <c r="A1063" i="13"/>
  <c r="A810" i="14"/>
  <c r="A150" i="12"/>
  <c r="A1120" i="12"/>
  <c r="A924" i="14"/>
  <c r="A95" i="12"/>
  <c r="A1333" i="12"/>
  <c r="A1008" i="14"/>
  <c r="A1091" i="12"/>
  <c r="A912" i="12"/>
  <c r="A634" i="13"/>
  <c r="A341" i="14"/>
  <c r="A964" i="12"/>
  <c r="A937" i="12"/>
  <c r="A584" i="12"/>
  <c r="A556" i="13"/>
  <c r="A954" i="14"/>
  <c r="A704" i="14"/>
  <c r="A299" i="13"/>
  <c r="A72" i="14"/>
  <c r="A812" i="14"/>
  <c r="A158" i="13"/>
  <c r="A808" i="12"/>
  <c r="A1151" i="12"/>
  <c r="A831" i="13"/>
  <c r="A1143" i="13"/>
  <c r="A4" i="12"/>
  <c r="A1193" i="14"/>
  <c r="A139" i="12"/>
  <c r="A1080" i="13"/>
  <c r="A1058" i="14"/>
  <c r="A692" i="13"/>
  <c r="A1206" i="14"/>
  <c r="A1046" i="14"/>
  <c r="A729" i="13"/>
  <c r="A858" i="14"/>
  <c r="A1156" i="13"/>
  <c r="A63" i="13"/>
  <c r="A1225" i="12"/>
  <c r="A493" i="14"/>
  <c r="A893" i="12"/>
  <c r="A1020" i="14"/>
  <c r="A1139" i="12"/>
  <c r="A138" i="13"/>
  <c r="A504" i="13"/>
  <c r="A934" i="14"/>
  <c r="A1134" i="12"/>
  <c r="A676" i="13"/>
  <c r="A1059" i="13"/>
  <c r="A814" i="14"/>
  <c r="A450" i="14"/>
  <c r="A699" i="14"/>
  <c r="A1138" i="14"/>
  <c r="A556" i="14"/>
  <c r="A108" i="14"/>
  <c r="A905" i="14"/>
  <c r="A10" i="12"/>
  <c r="A735" i="12"/>
  <c r="A1212" i="12"/>
  <c r="A1084" i="12"/>
  <c r="A434" i="12"/>
  <c r="A316" i="12"/>
  <c r="A576" i="14"/>
  <c r="A925" i="14"/>
  <c r="A480" i="14"/>
  <c r="A585" i="12"/>
  <c r="A1004" i="14"/>
  <c r="A480" i="13"/>
  <c r="A1118" i="12"/>
  <c r="A1100" i="14"/>
  <c r="A349" i="12"/>
  <c r="A1189" i="14"/>
  <c r="A1175" i="13"/>
  <c r="A983" i="12"/>
  <c r="A313" i="12"/>
  <c r="A1204" i="12"/>
  <c r="A972" i="14"/>
  <c r="A106" i="12"/>
  <c r="A996" i="12"/>
  <c r="A1112" i="13"/>
  <c r="A988" i="14"/>
  <c r="A372" i="14"/>
  <c r="A695" i="13"/>
  <c r="A360" i="12"/>
  <c r="A989" i="12"/>
  <c r="A814" i="12"/>
  <c r="A160" i="12"/>
  <c r="A95" i="13"/>
  <c r="A1143" i="14"/>
  <c r="A233" i="14"/>
  <c r="A314" i="13"/>
  <c r="A1208" i="14"/>
  <c r="A505" i="14"/>
  <c r="A1026" i="12"/>
  <c r="A55" i="12"/>
  <c r="A317" i="12"/>
  <c r="A297" i="14"/>
  <c r="A767" i="12"/>
  <c r="A93" i="12"/>
  <c r="A725" i="14"/>
  <c r="A872" i="13"/>
  <c r="A605" i="13"/>
  <c r="A925" i="13"/>
  <c r="A814" i="13"/>
  <c r="A830" i="13"/>
  <c r="A806" i="13"/>
  <c r="A1099" i="12"/>
  <c r="A664" i="14"/>
  <c r="A1072" i="12"/>
  <c r="A983" i="14"/>
  <c r="A1138" i="13"/>
  <c r="A130" i="14"/>
  <c r="A483" i="12"/>
  <c r="A45" i="12"/>
  <c r="A147" i="14"/>
  <c r="A1017" i="13"/>
  <c r="A708" i="13"/>
  <c r="A679" i="14"/>
  <c r="A910" i="12"/>
  <c r="A130" i="12"/>
  <c r="A134" i="13"/>
  <c r="A767" i="13"/>
  <c r="A1271" i="12"/>
  <c r="A687" i="13"/>
  <c r="A1114" i="12"/>
  <c r="A359" i="14"/>
  <c r="A355" i="12"/>
  <c r="A663" i="13"/>
  <c r="A1187" i="12"/>
  <c r="A997" i="12"/>
  <c r="A1341" i="14"/>
  <c r="A267" i="14"/>
  <c r="A118" i="13"/>
  <c r="A197" i="13"/>
  <c r="A1205" i="13"/>
  <c r="A395" i="13"/>
  <c r="A1017" i="14"/>
  <c r="A499" i="14"/>
  <c r="A630" i="13"/>
  <c r="A1258" i="14"/>
  <c r="A1312" i="12"/>
  <c r="A908" i="12"/>
  <c r="A487" i="12"/>
  <c r="A496" i="13"/>
  <c r="A321" i="14"/>
  <c r="A199" i="12"/>
  <c r="A576" i="13"/>
  <c r="A342" i="14"/>
  <c r="A1156" i="12"/>
  <c r="A1222" i="13"/>
  <c r="A754" i="14"/>
  <c r="A222" i="14"/>
  <c r="A393" i="13"/>
  <c r="A112" i="13"/>
  <c r="A175" i="12"/>
  <c r="A688" i="14"/>
  <c r="A460" i="12"/>
  <c r="A1150" i="14"/>
  <c r="A1208" i="13"/>
  <c r="A904" i="14"/>
  <c r="A1130" i="12"/>
  <c r="A710" i="14"/>
  <c r="A462" i="12"/>
  <c r="A1266" i="14"/>
  <c r="A324" i="12"/>
  <c r="A1266" i="12"/>
  <c r="A437" i="12"/>
  <c r="A672" i="14"/>
  <c r="A517" i="14"/>
  <c r="A721" i="13"/>
  <c r="A1338" i="14"/>
  <c r="A1350" i="12"/>
  <c r="A1349" i="12"/>
  <c r="A466" i="13"/>
  <c r="A1131" i="12"/>
  <c r="A430" i="13"/>
  <c r="A1137" i="14"/>
  <c r="A920" i="13"/>
  <c r="A767" i="14"/>
  <c r="A363" i="12"/>
  <c r="A1255" i="14"/>
  <c r="A1260" i="14"/>
  <c r="A726" i="14"/>
  <c r="A739" i="12"/>
  <c r="A599" i="12"/>
  <c r="A975" i="12"/>
  <c r="A400" i="13"/>
  <c r="A687" i="12"/>
  <c r="A1038" i="12"/>
  <c r="A422" i="12"/>
  <c r="A888" i="12"/>
  <c r="A1212" i="14"/>
  <c r="A743" i="13"/>
  <c r="A272" i="12"/>
  <c r="A1337" i="12"/>
  <c r="A1331" i="14"/>
  <c r="A280" i="12"/>
  <c r="A306" i="12"/>
  <c r="A758" i="12"/>
  <c r="A1343" i="13"/>
  <c r="A164" i="14"/>
  <c r="A1085" i="12"/>
  <c r="A275" i="13"/>
  <c r="A1037" i="13"/>
  <c r="A1133" i="13"/>
  <c r="A30" i="14"/>
  <c r="A1016" i="12"/>
  <c r="A42" i="14"/>
  <c r="A505" i="13"/>
  <c r="A805" i="14"/>
  <c r="A266" i="12"/>
  <c r="A1041" i="13"/>
  <c r="A1081" i="14"/>
  <c r="A514" i="14"/>
  <c r="A335" i="12"/>
  <c r="A626" i="13"/>
  <c r="A158" i="12"/>
  <c r="A63" i="14"/>
  <c r="A1333" i="13"/>
  <c r="A163" i="12"/>
  <c r="A531" i="14"/>
  <c r="A1243" i="12"/>
  <c r="A364" i="14"/>
  <c r="A34" i="13"/>
  <c r="A959" i="14"/>
  <c r="A1145" i="14"/>
  <c r="A621" i="12"/>
  <c r="A645" i="13"/>
  <c r="A512" i="13"/>
  <c r="A588" i="13"/>
  <c r="A1285" i="13"/>
  <c r="A347" i="14"/>
  <c r="A33" i="12"/>
  <c r="A374" i="14"/>
  <c r="A1174" i="12"/>
  <c r="A400" i="14"/>
  <c r="A496" i="12"/>
  <c r="A670" i="12"/>
  <c r="A968" i="14"/>
  <c r="A947" i="12"/>
  <c r="A1347" i="12"/>
  <c r="A683" i="12"/>
  <c r="A817" i="13"/>
  <c r="A1151" i="13"/>
  <c r="A210" i="13"/>
  <c r="A971" i="12"/>
  <c r="A1117" i="14"/>
  <c r="A920" i="12"/>
  <c r="A820" i="12"/>
  <c r="A54" i="12"/>
  <c r="A533" i="12"/>
  <c r="A1062" i="13"/>
  <c r="A1335" i="14"/>
  <c r="A563" i="13"/>
  <c r="A118" i="14"/>
  <c r="A916" i="12"/>
  <c r="A335" i="14"/>
  <c r="A995" i="12"/>
  <c r="A263" i="13"/>
  <c r="A701" i="14"/>
  <c r="A492" i="13"/>
  <c r="A154" i="12"/>
  <c r="A787" i="13"/>
  <c r="A1096" i="13"/>
  <c r="A525" i="12"/>
  <c r="A547" i="14"/>
  <c r="A212" i="12"/>
  <c r="A410" i="14"/>
  <c r="A270" i="14"/>
  <c r="A1133" i="12"/>
  <c r="A1220" i="12"/>
  <c r="A879" i="12"/>
  <c r="A356" i="13"/>
  <c r="A74" i="14"/>
  <c r="A50" i="14"/>
  <c r="A497" i="13"/>
  <c r="A841" i="14"/>
  <c r="A1024" i="12"/>
  <c r="A867" i="13"/>
  <c r="A1296" i="13"/>
  <c r="A222" i="12"/>
  <c r="A1176" i="13"/>
  <c r="A1004" i="13"/>
  <c r="A666" i="14"/>
  <c r="A279" i="14"/>
  <c r="A1080" i="12"/>
  <c r="A1167" i="13"/>
  <c r="A212" i="13"/>
  <c r="A1229" i="14"/>
  <c r="A943" i="13"/>
  <c r="A155" i="12"/>
  <c r="A93" i="14"/>
  <c r="A887" i="12"/>
  <c r="A409" i="13"/>
  <c r="A363" i="14"/>
  <c r="A793" i="12"/>
  <c r="A693" i="13"/>
  <c r="A580" i="13"/>
  <c r="A785" i="13"/>
  <c r="A362" i="13"/>
  <c r="A771" i="12"/>
  <c r="A1275" i="12"/>
  <c r="A85" i="14"/>
  <c r="A797" i="13"/>
  <c r="A445" i="12"/>
  <c r="A1093" i="13"/>
  <c r="A1281" i="14"/>
  <c r="A841" i="12"/>
  <c r="A197" i="14"/>
  <c r="A904" i="12"/>
  <c r="A71" i="12"/>
  <c r="A958" i="12"/>
  <c r="A1176" i="12"/>
  <c r="A245" i="12"/>
  <c r="A1070" i="13"/>
  <c r="A558" i="13"/>
  <c r="A713" i="12"/>
  <c r="A322" i="13"/>
  <c r="A712" i="14"/>
  <c r="A259" i="12"/>
  <c r="A1110" i="14"/>
  <c r="A1226" i="14"/>
  <c r="A846" i="14"/>
  <c r="A1199" i="14"/>
  <c r="A474" i="14"/>
  <c r="A87" i="13"/>
  <c r="A706" i="13"/>
  <c r="A1342" i="14"/>
  <c r="A1251" i="14"/>
  <c r="A796" i="12"/>
  <c r="A879" i="13"/>
  <c r="A1189" i="13"/>
  <c r="A887" i="13"/>
  <c r="A364" i="12"/>
  <c r="A395" i="12"/>
  <c r="A21" i="13"/>
  <c r="A334" i="13"/>
  <c r="A889" i="13"/>
  <c r="A195" i="13"/>
  <c r="A529" i="12"/>
  <c r="A856" i="14"/>
  <c r="A660" i="14"/>
  <c r="A351" i="14"/>
  <c r="A1163" i="12"/>
  <c r="A987" i="14"/>
  <c r="A1289" i="13"/>
  <c r="A1047" i="12"/>
  <c r="A479" i="14"/>
  <c r="A499" i="12"/>
  <c r="A1308" i="14"/>
  <c r="A445" i="14"/>
  <c r="A337" i="12"/>
  <c r="A672" i="12"/>
  <c r="A268" i="12"/>
  <c r="A1125" i="13"/>
  <c r="A347" i="13"/>
  <c r="A1039" i="13"/>
  <c r="A858" i="13"/>
  <c r="A83" i="12"/>
  <c r="A725" i="12"/>
  <c r="A84" i="14"/>
  <c r="A1014" i="12"/>
  <c r="A988" i="12"/>
  <c r="A389" i="12"/>
  <c r="A343" i="14"/>
  <c r="A1254" i="14"/>
  <c r="A862" i="12"/>
  <c r="A491" i="14"/>
  <c r="A1217" i="12"/>
  <c r="A941" i="13"/>
  <c r="A1334" i="12"/>
  <c r="A1105" i="14"/>
  <c r="A756" i="14"/>
  <c r="A574" i="13"/>
  <c r="A617" i="14"/>
  <c r="A1070" i="12"/>
  <c r="A641" i="13"/>
  <c r="A1175" i="14"/>
  <c r="A971" i="13"/>
  <c r="A487" i="13"/>
  <c r="A399" i="12"/>
  <c r="A297" i="13"/>
  <c r="A659" i="13"/>
  <c r="A620" i="12"/>
  <c r="A979" i="13"/>
  <c r="A801" i="14"/>
  <c r="A817" i="12"/>
  <c r="A260" i="13"/>
  <c r="A513" i="14"/>
  <c r="A875" i="13"/>
  <c r="A117" i="13"/>
  <c r="A389" i="14"/>
  <c r="A299" i="14"/>
  <c r="A280" i="14"/>
  <c r="A258" i="14"/>
  <c r="A1242" i="14"/>
  <c r="A822" i="14"/>
  <c r="A406" i="13"/>
  <c r="A380" i="12"/>
  <c r="A912" i="14"/>
  <c r="A392" i="12"/>
  <c r="A88" i="13"/>
  <c r="A338" i="14"/>
  <c r="A825" i="13"/>
  <c r="A46" i="12"/>
  <c r="A679" i="12"/>
  <c r="A1237" i="13"/>
  <c r="A1349" i="14"/>
  <c r="A851" i="14"/>
  <c r="A587" i="12"/>
  <c r="A779" i="12"/>
  <c r="A493" i="12"/>
  <c r="A101" i="12"/>
  <c r="A524" i="12"/>
  <c r="A1239" i="12"/>
  <c r="A1255" i="13"/>
  <c r="A710" i="12"/>
  <c r="A1047" i="13"/>
  <c r="A1263" i="13"/>
  <c r="A860" i="13"/>
  <c r="A845" i="13"/>
  <c r="A1064" i="14"/>
  <c r="A83" i="13"/>
  <c r="A471" i="13"/>
  <c r="A883" i="12"/>
  <c r="A1250" i="14"/>
  <c r="A287" i="14"/>
  <c r="A801" i="13"/>
  <c r="A1201" i="14"/>
  <c r="A779" i="13"/>
  <c r="A1216" i="14"/>
  <c r="A35" i="14"/>
  <c r="A1092" i="14"/>
  <c r="A1309" i="13"/>
  <c r="A1071" i="14"/>
  <c r="A1124" i="12"/>
  <c r="A1238" i="13"/>
  <c r="A1162" i="12"/>
  <c r="A75" i="12"/>
  <c r="A401" i="12"/>
  <c r="A174" i="14"/>
  <c r="A1021" i="14"/>
  <c r="A442" i="14"/>
  <c r="A59" i="12"/>
  <c r="A1299" i="13"/>
  <c r="A205" i="13"/>
  <c r="A420" i="13"/>
  <c r="A733" i="13"/>
  <c r="A862" i="13"/>
  <c r="A295" i="13"/>
  <c r="A1175" i="12"/>
  <c r="A521" i="12"/>
  <c r="A313" i="14"/>
  <c r="A1141" i="14"/>
  <c r="A192" i="12"/>
  <c r="A838" i="14"/>
  <c r="A631" i="13"/>
  <c r="A370" i="14"/>
  <c r="A1147" i="14"/>
  <c r="A331" i="12"/>
  <c r="A1059" i="12"/>
  <c r="A1012" i="12"/>
  <c r="A37" i="13"/>
  <c r="A18" i="12"/>
  <c r="A91" i="14"/>
  <c r="A1010" i="14"/>
  <c r="A26" i="13"/>
  <c r="A1022" i="12"/>
  <c r="A56" i="12"/>
  <c r="A154" i="14"/>
  <c r="A162" i="14"/>
  <c r="A274" i="14"/>
  <c r="A1062" i="14"/>
  <c r="A9" i="12"/>
  <c r="A1184" i="14"/>
  <c r="A225" i="12"/>
  <c r="A987" i="12"/>
  <c r="A338" i="13"/>
  <c r="A522" i="13"/>
  <c r="A974" i="13"/>
  <c r="A659" i="14"/>
  <c r="A1010" i="12"/>
  <c r="A633" i="14"/>
  <c r="A560" i="12"/>
  <c r="A297" i="12"/>
  <c r="A175" i="14"/>
  <c r="A1235" i="12"/>
  <c r="A105" i="14"/>
  <c r="A1258" i="12"/>
  <c r="A217" i="14"/>
  <c r="A622" i="12"/>
  <c r="A904" i="13"/>
  <c r="A601" i="12"/>
  <c r="A412" i="14"/>
  <c r="A859" i="13"/>
  <c r="A529" i="13"/>
  <c r="A1083" i="14"/>
  <c r="A833" i="14"/>
  <c r="A1351" i="14"/>
  <c r="A855" i="12"/>
  <c r="A1338" i="13"/>
  <c r="A289" i="12"/>
  <c r="A641" i="12"/>
  <c r="A181" i="14"/>
  <c r="A897" i="14"/>
  <c r="A488" i="14"/>
  <c r="A771" i="13"/>
  <c r="A1158" i="14"/>
  <c r="A142" i="14"/>
  <c r="A993" i="14"/>
  <c r="A75" i="14"/>
  <c r="A789" i="13"/>
  <c r="A1009" i="12"/>
  <c r="A441" i="13"/>
  <c r="A689" i="14"/>
  <c r="A49" i="12"/>
  <c r="A26" i="14"/>
  <c r="A1230" i="12"/>
  <c r="A108" i="12"/>
  <c r="A912" i="13"/>
  <c r="A1342" i="13"/>
  <c r="A1230" i="13"/>
  <c r="A195" i="14"/>
  <c r="A429" i="14"/>
  <c r="A351" i="13"/>
  <c r="A522" i="14"/>
  <c r="A484" i="13"/>
  <c r="A463" i="12"/>
  <c r="A1204" i="14"/>
  <c r="A587" i="13"/>
  <c r="A808" i="14"/>
  <c r="A489" i="14"/>
  <c r="A647" i="12"/>
  <c r="A401" i="14"/>
  <c r="A750" i="12"/>
  <c r="A935" i="14"/>
  <c r="A596" i="14"/>
  <c r="A905" i="12"/>
  <c r="A262" i="13"/>
  <c r="A50" i="12"/>
  <c r="A971" i="14"/>
  <c r="A785" i="14"/>
  <c r="A763" i="13"/>
  <c r="A1125" i="14"/>
  <c r="A738" i="14"/>
  <c r="A784" i="12"/>
  <c r="A1154" i="13"/>
  <c r="A634" i="12"/>
  <c r="A475" i="14"/>
  <c r="A1183" i="14"/>
  <c r="A33" i="13"/>
  <c r="A635" i="13"/>
  <c r="A387" i="12"/>
  <c r="A417" i="13"/>
  <c r="A533" i="13"/>
  <c r="A326" i="14"/>
  <c r="A1312" i="14"/>
  <c r="A884" i="13"/>
  <c r="A834" i="12"/>
  <c r="A525" i="14"/>
  <c r="A368" i="13"/>
  <c r="A692" i="12"/>
  <c r="A437" i="13"/>
  <c r="A1226" i="12"/>
  <c r="A859" i="14"/>
  <c r="A174" i="13"/>
  <c r="A414" i="12"/>
  <c r="A1238" i="14"/>
  <c r="A1113" i="12"/>
  <c r="A447" i="13"/>
  <c r="A675" i="12"/>
  <c r="A234" i="14"/>
  <c r="A1126" i="13"/>
  <c r="A1308" i="13"/>
  <c r="A1241" i="12"/>
  <c r="A64" i="14"/>
  <c r="A1350" i="13"/>
  <c r="A164" i="13"/>
  <c r="A1020" i="13"/>
  <c r="A304" i="14"/>
  <c r="A1124" i="13"/>
  <c r="A762" i="12"/>
  <c r="A47" i="13"/>
  <c r="A149" i="14"/>
  <c r="A991" i="13"/>
  <c r="A1241" i="14"/>
  <c r="A892" i="13"/>
  <c r="A39" i="13"/>
  <c r="A526" i="14"/>
  <c r="A760" i="12"/>
  <c r="A970" i="13"/>
  <c r="A189" i="14"/>
  <c r="A429" i="13"/>
  <c r="A863" i="13"/>
  <c r="A341" i="12"/>
  <c r="A1213" i="13"/>
  <c r="A731" i="13"/>
  <c r="A1213" i="12"/>
  <c r="A41" i="13"/>
  <c r="A96" i="14"/>
  <c r="A770" i="12"/>
  <c r="A247" i="13"/>
  <c r="A1287" i="13"/>
  <c r="A508" i="13"/>
  <c r="A1089" i="12"/>
  <c r="A216" i="12"/>
  <c r="A1345" i="12"/>
  <c r="A916" i="14"/>
  <c r="A570" i="12"/>
  <c r="A456" i="14"/>
  <c r="A1174" i="14"/>
  <c r="A1234" i="14"/>
  <c r="A909" i="12"/>
  <c r="A221" i="12"/>
  <c r="A192" i="14"/>
  <c r="A892" i="12"/>
  <c r="A1110" i="12"/>
  <c r="A605" i="14"/>
  <c r="A583" i="13"/>
  <c r="A1126" i="12"/>
  <c r="A1259" i="14"/>
  <c r="A854" i="14"/>
  <c r="A34" i="14"/>
  <c r="A437" i="14"/>
  <c r="A454" i="13"/>
  <c r="A1188" i="14"/>
  <c r="A1018" i="13"/>
  <c r="A691" i="14"/>
  <c r="A689" i="12"/>
  <c r="A46" i="13"/>
  <c r="A88" i="12"/>
  <c r="A476" i="14"/>
  <c r="A331" i="14"/>
  <c r="A304" i="13"/>
  <c r="A393" i="14"/>
  <c r="A135" i="13"/>
  <c r="A1158" i="12"/>
  <c r="A991" i="14"/>
  <c r="A266" i="14"/>
  <c r="A1068" i="13"/>
  <c r="A1217" i="14"/>
  <c r="A550" i="12"/>
  <c r="A756" i="12"/>
  <c r="A224" i="14"/>
  <c r="A195" i="12"/>
  <c r="A237" i="12"/>
  <c r="A989" i="14"/>
  <c r="A421" i="13"/>
  <c r="A99" i="14"/>
  <c r="A1049" i="14"/>
  <c r="A1083" i="13"/>
  <c r="A333" i="12"/>
  <c r="A418" i="13"/>
  <c r="A260" i="12"/>
  <c r="A1233" i="13"/>
  <c r="A734" i="14"/>
  <c r="A41" i="14"/>
  <c r="A342" i="12"/>
  <c r="A1045" i="14"/>
  <c r="A1139" i="13"/>
  <c r="A449" i="14"/>
  <c r="A262" i="14"/>
  <c r="A514" i="13"/>
  <c r="A1264" i="12"/>
  <c r="A583" i="12"/>
  <c r="A542" i="12"/>
  <c r="A930" i="14"/>
  <c r="A676" i="14"/>
  <c r="A910" i="14"/>
  <c r="A935" i="13"/>
  <c r="A670" i="13"/>
  <c r="A284" i="14"/>
  <c r="A572" i="12"/>
  <c r="A424" i="14"/>
  <c r="A704" i="13"/>
  <c r="A1106" i="12"/>
  <c r="A445" i="13"/>
  <c r="A1081" i="13"/>
  <c r="A59" i="13"/>
  <c r="A1006" i="12"/>
  <c r="A963" i="12"/>
  <c r="A656" i="13"/>
  <c r="A710" i="13"/>
  <c r="A1267" i="13"/>
  <c r="A1046" i="13"/>
  <c r="A1242" i="13"/>
  <c r="A243" i="12"/>
  <c r="A1008" i="13"/>
  <c r="A913" i="13"/>
  <c r="A1318" i="13"/>
  <c r="A1129" i="14"/>
  <c r="A693" i="14"/>
  <c r="A1099" i="13"/>
  <c r="A441" i="12"/>
  <c r="A1287" i="12"/>
  <c r="A275" i="14"/>
  <c r="A835" i="12"/>
  <c r="A551" i="12"/>
  <c r="A583" i="14"/>
  <c r="A1168" i="12"/>
  <c r="A267" i="13"/>
  <c r="A397" i="14"/>
  <c r="A1313" i="14"/>
  <c r="A443" i="13"/>
  <c r="A1142" i="13"/>
  <c r="A637" i="14"/>
  <c r="A170" i="14"/>
  <c r="A568" i="12"/>
  <c r="A683" i="13"/>
  <c r="A187" i="14"/>
  <c r="A1155" i="12"/>
  <c r="A718" i="14"/>
  <c r="A1054" i="14"/>
  <c r="A731" i="14"/>
  <c r="A555" i="13"/>
  <c r="A546" i="13"/>
  <c r="A379" i="14"/>
  <c r="A1166" i="14"/>
  <c r="A266" i="13"/>
  <c r="A1116" i="13"/>
  <c r="A446" i="13"/>
  <c r="A1331" i="12"/>
  <c r="A745" i="13"/>
  <c r="A595" i="14"/>
  <c r="A662" i="13"/>
  <c r="A167" i="14"/>
  <c r="A749" i="13"/>
  <c r="A570" i="14"/>
  <c r="A104" i="12"/>
  <c r="A1263" i="14"/>
  <c r="A247" i="14"/>
  <c r="A1097" i="12"/>
  <c r="A79" i="12"/>
  <c r="A839" i="12"/>
  <c r="A1314" i="13"/>
  <c r="A1005" i="14"/>
  <c r="A455" i="13"/>
  <c r="A1020" i="12"/>
  <c r="A913" i="14"/>
  <c r="A500" i="13"/>
  <c r="A792" i="12"/>
  <c r="A460" i="14"/>
  <c r="A535" i="14"/>
  <c r="A468" i="13"/>
  <c r="A1322" i="13"/>
  <c r="A143" i="14"/>
  <c r="A133" i="14"/>
  <c r="A1351" i="12"/>
  <c r="A524" i="13"/>
  <c r="A30" i="12"/>
  <c r="A212" i="14"/>
  <c r="A659" i="12"/>
  <c r="A255" i="14"/>
  <c r="A622" i="14"/>
  <c r="A730" i="12"/>
  <c r="A242" i="14"/>
  <c r="A17" i="14"/>
  <c r="A145" i="13"/>
  <c r="A1195" i="13"/>
  <c r="A141" i="14"/>
  <c r="A837" i="14"/>
  <c r="A525" i="13"/>
  <c r="A279" i="12"/>
  <c r="A680" i="12"/>
  <c r="A1242" i="12"/>
  <c r="A575" i="13"/>
  <c r="A567" i="13"/>
  <c r="A243" i="14"/>
  <c r="A942" i="13"/>
  <c r="A1270" i="12"/>
  <c r="A434" i="13"/>
  <c r="A966" i="13"/>
  <c r="A1146" i="14"/>
  <c r="A289" i="13"/>
  <c r="A455" i="12"/>
  <c r="A789" i="14"/>
  <c r="A376" i="13"/>
  <c r="A806" i="12"/>
  <c r="A113" i="13"/>
  <c r="A120" i="13"/>
  <c r="A656" i="14"/>
  <c r="A133" i="13"/>
  <c r="A358" i="13"/>
  <c r="A66" i="14"/>
  <c r="A687" i="14"/>
  <c r="A658" i="14"/>
  <c r="A839" i="13"/>
  <c r="A10" i="13"/>
  <c r="A501" i="13"/>
  <c r="A30" i="13"/>
  <c r="A325" i="12"/>
  <c r="A1154" i="14"/>
  <c r="A524" i="14"/>
  <c r="A18" i="13"/>
  <c r="A562" i="12"/>
  <c r="A396" i="12"/>
  <c r="A49" i="13"/>
  <c r="A147" i="13"/>
  <c r="A635" i="12"/>
  <c r="A709" i="13"/>
  <c r="A1271" i="14"/>
  <c r="A721" i="12"/>
  <c r="A555" i="14"/>
  <c r="A914" i="14"/>
  <c r="A1250" i="12"/>
  <c r="A1346" i="12"/>
  <c r="A660" i="13"/>
  <c r="A733" i="14"/>
  <c r="A114" i="13"/>
  <c r="A638" i="12"/>
  <c r="A1329" i="14"/>
  <c r="A491" i="13"/>
  <c r="A951" i="12"/>
  <c r="A812" i="12"/>
  <c r="A518" i="12"/>
  <c r="A1309" i="12"/>
  <c r="A862" i="14"/>
  <c r="A933" i="14"/>
  <c r="A1301" i="13"/>
  <c r="A517" i="13"/>
  <c r="A255" i="13"/>
  <c r="A531" i="13"/>
  <c r="A333" i="13"/>
  <c r="A842" i="13"/>
  <c r="A1214" i="12"/>
  <c r="A637" i="13"/>
  <c r="A737" i="14"/>
  <c r="A863" i="12"/>
  <c r="A963" i="13"/>
  <c r="A163" i="13"/>
  <c r="A291" i="14"/>
  <c r="A376" i="12"/>
  <c r="A956" i="14"/>
  <c r="A67" i="12"/>
  <c r="A306" i="13"/>
  <c r="A1313" i="13"/>
  <c r="A591" i="14"/>
  <c r="A367" i="14"/>
  <c r="A545" i="12"/>
  <c r="A813" i="14"/>
  <c r="A931" i="13"/>
  <c r="A1218" i="13"/>
  <c r="A946" i="14"/>
  <c r="A609" i="13"/>
  <c r="A176" i="13"/>
  <c r="A558" i="12"/>
  <c r="A571" i="14"/>
  <c r="A58" i="13"/>
  <c r="A399" i="13"/>
  <c r="A760" i="13"/>
  <c r="A768" i="12"/>
  <c r="A470" i="14"/>
  <c r="A918" i="12"/>
  <c r="A337" i="14"/>
  <c r="A1268" i="13"/>
  <c r="A846" i="12"/>
  <c r="A310" i="12"/>
  <c r="A621" i="14"/>
  <c r="A737" i="13"/>
  <c r="A291" i="12"/>
  <c r="A256" i="12"/>
  <c r="A1333" i="14"/>
  <c r="A884" i="14"/>
  <c r="A938" i="14"/>
  <c r="A93" i="13"/>
  <c r="A166" i="13"/>
  <c r="A713" i="14"/>
  <c r="A1231" i="12"/>
  <c r="A143" i="12"/>
  <c r="A60" i="13"/>
  <c r="A1245" i="12"/>
  <c r="A504" i="14"/>
  <c r="A668" i="12"/>
  <c r="A717" i="14"/>
  <c r="A1149" i="14"/>
  <c r="A867" i="12"/>
  <c r="A460" i="13"/>
  <c r="A235" i="13"/>
  <c r="A56" i="14"/>
  <c r="A488" i="12"/>
  <c r="A1272" i="14"/>
  <c r="A664" i="13"/>
  <c r="A818" i="12"/>
  <c r="A1066" i="14"/>
  <c r="A888" i="13"/>
  <c r="A1155" i="14"/>
  <c r="A959" i="13"/>
  <c r="A908" i="14"/>
  <c r="A962" i="13"/>
  <c r="A646" i="12"/>
  <c r="A1084" i="14"/>
  <c r="A954" i="12"/>
  <c r="A512" i="14"/>
  <c r="A1112" i="14"/>
  <c r="A354" i="12"/>
  <c r="A521" i="14"/>
  <c r="A318" i="12"/>
  <c r="A747" i="12"/>
  <c r="A97" i="14"/>
  <c r="A1088" i="12"/>
  <c r="A962" i="12"/>
  <c r="A79" i="14"/>
  <c r="A609" i="12"/>
  <c r="A204" i="13"/>
  <c r="A833" i="13"/>
  <c r="A910" i="13"/>
  <c r="A506" i="14"/>
  <c r="A1030" i="14"/>
  <c r="A783" i="14"/>
  <c r="A97" i="13"/>
  <c r="A1114" i="13"/>
  <c r="A345" i="13"/>
  <c r="A655" i="13"/>
  <c r="A222" i="13"/>
  <c r="A1005" i="13"/>
  <c r="A1249" i="14"/>
  <c r="A1243" i="13"/>
  <c r="A625" i="14"/>
  <c r="A855" i="14"/>
  <c r="A949" i="13"/>
  <c r="A650" i="12"/>
  <c r="A520" i="13"/>
  <c r="A1322" i="12"/>
  <c r="A939" i="14"/>
  <c r="A312" i="12"/>
  <c r="A668" i="14"/>
  <c r="A697" i="14"/>
  <c r="A230" i="12"/>
  <c r="A1200" i="13"/>
  <c r="A683" i="14"/>
  <c r="A625" i="12"/>
  <c r="A400" i="12"/>
  <c r="A342" i="13"/>
  <c r="A1195" i="14"/>
  <c r="A1192" i="14"/>
  <c r="A845" i="14"/>
  <c r="A1224" i="13"/>
  <c r="A1156" i="14"/>
  <c r="A588" i="14"/>
  <c r="A685" i="12"/>
  <c r="A589" i="12"/>
  <c r="A249" i="13"/>
  <c r="A55" i="14"/>
  <c r="A1231" i="14"/>
  <c r="A900" i="12"/>
  <c r="A867" i="14"/>
  <c r="A581" i="14"/>
  <c r="A1131" i="14"/>
  <c r="A695" i="14"/>
  <c r="A500" i="14"/>
  <c r="A516" i="14"/>
  <c r="A404" i="14"/>
  <c r="A106" i="14"/>
  <c r="A1018" i="14"/>
  <c r="A1085" i="14"/>
  <c r="A1314" i="12"/>
  <c r="A920" i="14"/>
  <c r="A214" i="13"/>
  <c r="A1206" i="13"/>
  <c r="A229" i="12"/>
  <c r="A91" i="13"/>
  <c r="A366" i="14"/>
  <c r="A1162" i="13"/>
  <c r="A385" i="14"/>
  <c r="A1104" i="13"/>
  <c r="A104" i="14"/>
  <c r="A1304" i="13"/>
  <c r="A820" i="14"/>
  <c r="A924" i="13"/>
  <c r="A1283" i="14"/>
  <c r="A1264" i="14"/>
  <c r="A1234" i="12"/>
  <c r="A438" i="13"/>
  <c r="A554" i="14"/>
  <c r="A550" i="14"/>
  <c r="A816" i="13"/>
  <c r="A581" i="13"/>
  <c r="A58" i="14"/>
  <c r="A876" i="12"/>
  <c r="A117" i="12"/>
  <c r="A481" i="13"/>
  <c r="A341" i="13"/>
  <c r="A1122" i="13"/>
  <c r="A109" i="13"/>
  <c r="A1089" i="13"/>
  <c r="A681" i="12"/>
  <c r="A758" i="14"/>
  <c r="A1293" i="14"/>
  <c r="A675" i="13"/>
  <c r="A217" i="12"/>
  <c r="A125" i="14"/>
  <c r="A205" i="14"/>
  <c r="A1099" i="14"/>
  <c r="A785" i="12"/>
  <c r="A412" i="12"/>
  <c r="A474" i="12"/>
  <c r="A358" i="12"/>
  <c r="A124" i="12"/>
  <c r="A312" i="14"/>
  <c r="A1083" i="12"/>
  <c r="A406" i="14"/>
  <c r="A1087" i="14"/>
  <c r="A1006" i="14"/>
  <c r="A416" i="14"/>
  <c r="A1129" i="13"/>
  <c r="A1283" i="13"/>
  <c r="A559" i="13"/>
  <c r="A992" i="12"/>
  <c r="A388" i="12"/>
  <c r="A204" i="14"/>
  <c r="A283" i="13"/>
  <c r="A1345" i="14"/>
  <c r="A674" i="12"/>
  <c r="A637" i="12"/>
  <c r="A193" i="14"/>
  <c r="A80" i="14"/>
  <c r="A489" i="12"/>
  <c r="A1254" i="12"/>
  <c r="A456" i="12"/>
  <c r="A199" i="14"/>
  <c r="A631" i="12"/>
  <c r="A1293" i="13"/>
  <c r="A626" i="14"/>
  <c r="A875" i="14"/>
  <c r="A259" i="13"/>
  <c r="A1160" i="14"/>
  <c r="A309" i="14"/>
  <c r="A189" i="13"/>
  <c r="A96" i="12"/>
  <c r="A126" i="12"/>
  <c r="A663" i="12"/>
  <c r="A150" i="13"/>
  <c r="A706" i="12"/>
  <c r="A954" i="13"/>
  <c r="A339" i="12"/>
  <c r="A1251" i="13"/>
  <c r="A738" i="12"/>
  <c r="A424" i="13"/>
  <c r="A1209" i="14"/>
  <c r="A318" i="14"/>
  <c r="A141" i="13"/>
  <c r="A1022" i="13"/>
  <c r="A1168" i="13"/>
  <c r="A558" i="14"/>
  <c r="A947" i="14"/>
  <c r="A1076" i="14"/>
  <c r="A466" i="14"/>
  <c r="A701" i="13"/>
  <c r="A467" i="12"/>
  <c r="A1254" i="13"/>
  <c r="A741" i="13"/>
  <c r="A481" i="12"/>
  <c r="A97" i="12"/>
  <c r="A624" i="13"/>
  <c r="A70" i="14"/>
  <c r="A306" i="14"/>
  <c r="A137" i="12"/>
  <c r="A393" i="12"/>
  <c r="A539" i="14"/>
  <c r="A691" i="13"/>
  <c r="A35" i="13"/>
  <c r="A89" i="14"/>
  <c r="A859" i="12"/>
  <c r="A447" i="12"/>
  <c r="A851" i="12"/>
  <c r="A624" i="14"/>
  <c r="A829" i="14"/>
  <c r="A54" i="13"/>
  <c r="A449" i="13"/>
  <c r="A1034" i="14"/>
  <c r="A254" i="13"/>
  <c r="A995" i="13"/>
  <c r="A864" i="12"/>
  <c r="A1000" i="14"/>
  <c r="A221" i="13"/>
  <c r="A5" i="12"/>
  <c r="A446" i="14"/>
  <c r="A956" i="13"/>
  <c r="A1167" i="12"/>
  <c r="A145" i="14"/>
  <c r="A1130" i="13"/>
  <c r="A1188" i="13"/>
  <c r="A1276" i="13"/>
  <c r="A468" i="12"/>
  <c r="A1317" i="14"/>
  <c r="A604" i="14"/>
  <c r="A880" i="12"/>
  <c r="A545" i="13"/>
  <c r="A697" i="12"/>
  <c r="A420" i="14"/>
  <c r="A571" i="12"/>
  <c r="A16" i="14"/>
  <c r="A891" i="13"/>
  <c r="A992" i="13"/>
  <c r="A1196" i="12"/>
  <c r="A208" i="13"/>
  <c r="A99" i="12"/>
  <c r="A208" i="12"/>
  <c r="A816" i="14"/>
  <c r="A521" i="13"/>
  <c r="A171" i="12"/>
  <c r="A1249" i="13"/>
  <c r="A855" i="13"/>
  <c r="A122" i="12"/>
  <c r="A1041" i="12"/>
  <c r="A487" i="14"/>
  <c r="A131" i="12"/>
  <c r="A1262" i="12"/>
  <c r="A19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<sst xmlns="http://schemas.openxmlformats.org/spreadsheetml/2006/main" count="4201" uniqueCount="195">
  <si>
    <t>Parameter</t>
  </si>
  <si>
    <t>Value</t>
  </si>
  <si>
    <t>Description</t>
  </si>
  <si>
    <t>Temperature</t>
  </si>
  <si>
    <t>linear term</t>
  </si>
  <si>
    <t>quadratic term</t>
  </si>
  <si>
    <t>quadratic exponent :-)</t>
  </si>
  <si>
    <t>Percipitation</t>
  </si>
  <si>
    <t>Wind Speed</t>
  </si>
  <si>
    <t>Sea Level</t>
  </si>
  <si>
    <t>Economic Sectors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</si>
  <si>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</si>
  <si>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</si>
  <si>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</si>
  <si>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</si>
  <si>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</si>
  <si>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</si>
  <si>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</si>
  <si>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</si>
  <si>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</si>
  <si>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</si>
  <si>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</si>
  <si>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</si>
  <si>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</si>
  <si>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</si>
  <si>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</si>
  <si>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</si>
  <si>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</si>
  <si>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</si>
  <si>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</si>
  <si>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E</t>
  </si>
  <si>
    <t>Agriculture, forestry and fishing</t>
  </si>
  <si>
    <t>Mining and quarrying</t>
  </si>
  <si>
    <t>Manufacturing</t>
  </si>
  <si>
    <t>Electricity, gas, stream and air conditioning supply</t>
  </si>
  <si>
    <t>Water supply,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</si>
  <si>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</si>
  <si>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</si>
  <si>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</si>
  <si>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</si>
  <si>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</si>
  <si>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Financial, banking and insurance activities</t>
  </si>
  <si>
    <t>Real estate activities</t>
  </si>
  <si>
    <t>Professional, scientific and technical activities</t>
  </si>
  <si>
    <t>Administrative and support service activities</t>
  </si>
  <si>
    <t>Activities of Communist Party, socio-political organizations; public administration and defence; compulsory security</t>
  </si>
  <si>
    <t>Education and training</t>
  </si>
  <si>
    <t>Human health and social work activities</t>
  </si>
  <si>
    <t>Arts, entertainment and recreation</t>
  </si>
  <si>
    <t>Other service activities</t>
  </si>
  <si>
    <t>Activities of households as employers; undifferentiated goods and services producing activities of households for own use</t>
  </si>
  <si>
    <t>Sheets</t>
  </si>
  <si>
    <t>Start</t>
  </si>
  <si>
    <t>Terminal</t>
  </si>
  <si>
    <t>defines terminal values for the baseline scenario</t>
  </si>
  <si>
    <t>defines initial values for economic variables</t>
  </si>
  <si>
    <t>Baseline</t>
  </si>
  <si>
    <t>Dynamics</t>
  </si>
  <si>
    <t>defines values for structural parameters which influence the dynamics of the model</t>
  </si>
  <si>
    <t>defines values for structural parameters mainly elasticities</t>
  </si>
  <si>
    <t>defines the terminal values for climate variables for the sea level scenario</t>
  </si>
  <si>
    <t>defines the terminal values for climate variables for the temperature scenario</t>
  </si>
  <si>
    <t>Sector</t>
  </si>
  <si>
    <t>Northern Midlands and Mountains</t>
  </si>
  <si>
    <t>Red River Delta</t>
  </si>
  <si>
    <t>North Central and Central Coast</t>
  </si>
  <si>
    <t>Central Highlands</t>
  </si>
  <si>
    <t>Southeast</t>
  </si>
  <si>
    <t>Sector in Model</t>
  </si>
  <si>
    <t>Classifications</t>
  </si>
  <si>
    <t>G,J,K,L,M,N,R</t>
  </si>
  <si>
    <t>O,P,Q</t>
  </si>
  <si>
    <t>S,T</t>
  </si>
  <si>
    <t>B,D,E</t>
  </si>
  <si>
    <t>Region in Model</t>
  </si>
  <si>
    <t>Total</t>
  </si>
  <si>
    <t>Vietnam</t>
  </si>
  <si>
    <t>Northern Midlands and Mountain Areas</t>
  </si>
  <si>
    <t>North Central and Central coastal areas</t>
  </si>
  <si>
    <t>South East</t>
  </si>
  <si>
    <t>Mekong River Delta</t>
  </si>
  <si>
    <t>Agriculture</t>
  </si>
  <si>
    <t>Forestry</t>
  </si>
  <si>
    <t>Special</t>
  </si>
  <si>
    <t>Homestead</t>
  </si>
  <si>
    <t>Number of newly established enterprises</t>
  </si>
  <si>
    <t>Cumulative</t>
  </si>
  <si>
    <t>Share</t>
  </si>
  <si>
    <t>Number of acting enterprises</t>
  </si>
  <si>
    <t>Number of Houses</t>
  </si>
  <si>
    <t>Area</t>
  </si>
  <si>
    <t>Average Population</t>
  </si>
  <si>
    <t>Gross Value Added Shares National Level</t>
  </si>
  <si>
    <t>Employment Shares</t>
  </si>
  <si>
    <t>Labour cost shares</t>
  </si>
  <si>
    <t>Drought</t>
  </si>
  <si>
    <t>Cyclone</t>
  </si>
  <si>
    <t>Adaptation</t>
  </si>
  <si>
    <t>Extremes</t>
  </si>
  <si>
    <t>Structural Parameters</t>
  </si>
  <si>
    <t>Damage Functions TFP</t>
  </si>
  <si>
    <t>defines coefficients for the sectoral and regional damage functions to total factor productivity</t>
  </si>
  <si>
    <t>Damage Functions Labour</t>
  </si>
  <si>
    <t>defines coefficients for the sectoral and regional damage functions to labour productivity</t>
  </si>
  <si>
    <t>Damage Functions Capital</t>
  </si>
  <si>
    <t>defines coefficients for the sectoral and regional damage functions to capital stock</t>
  </si>
  <si>
    <t>Data</t>
  </si>
  <si>
    <t>sheet with link to data sources used for calibration</t>
  </si>
  <si>
    <t xml:space="preserve">Note: The model uses aggregated sectors, e.g. BDE. The sector BDE is the aggregate out of the single sectors B, D and E. </t>
  </si>
  <si>
    <t>Land use by region</t>
  </si>
  <si>
    <t>Source: Statistical Yearbook 2018 page 205 Table 73</t>
  </si>
  <si>
    <t>Source: Statistical Yearbook 2018 page 209 Table 75</t>
  </si>
  <si>
    <t>Source: Statistical Yearbook 2018 page 189 Table 71</t>
  </si>
  <si>
    <t>Source: Statistical Yearbook 2018 page 53 Table 5</t>
  </si>
  <si>
    <t>Mekong River delta</t>
  </si>
  <si>
    <t>© Halle Institute for Economic Research (IWH)</t>
  </si>
  <si>
    <t>defines terminal values for climate variables of the baseline scenario</t>
  </si>
  <si>
    <t>sector 3 and region 3</t>
  </si>
  <si>
    <t>sector 3 and region 4</t>
  </si>
  <si>
    <t>sector 3 and region 5</t>
  </si>
  <si>
    <t>sector 3 and region 6</t>
  </si>
  <si>
    <t>sector 4 and region 1</t>
  </si>
  <si>
    <t>sector 4 and region 2</t>
  </si>
  <si>
    <t>sector 4 and region 3</t>
  </si>
  <si>
    <t>sector 4 and region 4</t>
  </si>
  <si>
    <t>sector 4 and region 5</t>
  </si>
  <si>
    <t>sector 4 and region 6</t>
  </si>
  <si>
    <t>sector 5 and region 1</t>
  </si>
  <si>
    <t>sector 5 and region 2</t>
  </si>
  <si>
    <t>sector 5 and region 3</t>
  </si>
  <si>
    <t>sector 5 and region 4</t>
  </si>
  <si>
    <t>sector 5 and region 5</t>
  </si>
  <si>
    <t>sector 5 and region 6</t>
  </si>
  <si>
    <t>sector 6 and region 1</t>
  </si>
  <si>
    <t>sector 6 and region 2</t>
  </si>
  <si>
    <t>sector 6 and region 3</t>
  </si>
  <si>
    <t>sector 6 and region 4</t>
  </si>
  <si>
    <t>sector 6 and region 5</t>
  </si>
  <si>
    <t>sector 6 and region 6</t>
  </si>
  <si>
    <t>sector 7 and region 1</t>
  </si>
  <si>
    <t>sector 7 and region 2</t>
  </si>
  <si>
    <t>sector 7 and region 3</t>
  </si>
  <si>
    <t>sector 7 and region 4</t>
  </si>
  <si>
    <t>sector 7 and region 5</t>
  </si>
  <si>
    <t>sector 7 and region 6</t>
  </si>
  <si>
    <t>sector 8 and region 1</t>
  </si>
  <si>
    <t>sector 8 and region 2</t>
  </si>
  <si>
    <t>sector 8 and region 3</t>
  </si>
  <si>
    <t>sector 8 and region 4</t>
  </si>
  <si>
    <t>sector 8 and region 5</t>
  </si>
  <si>
    <t>sector 8 and region 6</t>
  </si>
  <si>
    <t>sector 9 and region 1</t>
  </si>
  <si>
    <t>sector 9 and region 4</t>
  </si>
  <si>
    <t>sector 9 and region 2</t>
  </si>
  <si>
    <t>sector 9 and region 3</t>
  </si>
  <si>
    <t>sector 9 and region 5</t>
  </si>
  <si>
    <t>sector 9 and region 6</t>
  </si>
  <si>
    <t>9_6</t>
  </si>
  <si>
    <t>9_5</t>
  </si>
  <si>
    <t>9_4</t>
  </si>
  <si>
    <t>9_3</t>
  </si>
  <si>
    <t>9_2</t>
  </si>
  <si>
    <t>9_1</t>
  </si>
  <si>
    <t>8_6</t>
  </si>
  <si>
    <t>8_5</t>
  </si>
  <si>
    <t>8_4</t>
  </si>
  <si>
    <t>8_3</t>
  </si>
  <si>
    <t>8_2</t>
  </si>
  <si>
    <t>8_1</t>
  </si>
  <si>
    <t>7_6</t>
  </si>
  <si>
    <t>7_5</t>
  </si>
  <si>
    <t>7_4</t>
  </si>
  <si>
    <t>7_3</t>
  </si>
  <si>
    <t>7_2</t>
  </si>
  <si>
    <t>7_1</t>
  </si>
  <si>
    <t>6_6</t>
  </si>
  <si>
    <t>6_5</t>
  </si>
  <si>
    <t>6_4</t>
  </si>
  <si>
    <t>6_3</t>
  </si>
  <si>
    <t>6_2</t>
  </si>
  <si>
    <t>6_1</t>
  </si>
  <si>
    <t>5_6</t>
  </si>
  <si>
    <t>5_5</t>
  </si>
  <si>
    <t>5_4</t>
  </si>
  <si>
    <t>5_3</t>
  </si>
  <si>
    <t>5_2</t>
  </si>
  <si>
    <t>5_1</t>
  </si>
  <si>
    <t>4_6</t>
  </si>
  <si>
    <t>4_5</t>
  </si>
  <si>
    <t>4_4</t>
  </si>
  <si>
    <t>4_3</t>
  </si>
  <si>
    <t>4_2</t>
  </si>
  <si>
    <t>4_1</t>
  </si>
  <si>
    <t>3_6</t>
  </si>
  <si>
    <t>Source: Statistical Yearbook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</si>
</sst>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164" fontId="0" fillId="0" borderId="5" xfId="0" applyNumberFormat="1" applyBorder="1"/>
    <xf numFmtId="164" fontId="0" fillId="0" borderId="8" xfId="0" applyNumberFormat="1" applyBorder="1"/>
    <xf numFmtId="0" fontId="0" fillId="3" borderId="7" xfId="0" applyFill="1" applyBorder="1"/>
    <xf numFmtId="0" fontId="0" fillId="4" borderId="0" xfId="0" applyFill="1"/>
    <xf numFmtId="0" fontId="3" fillId="5" borderId="0" xfId="0" applyFon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a2c93ce427878e7/Dokumente/GitHub/Vietnam_RBC_model/Data/SUT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a2c93ce427878e7/Dokumente/GitHub/Vietnam_RBC_model/Data/EmploymentSha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U"/>
      <sheetName val="IO"/>
      <sheetName val="IO GRAS"/>
      <sheetName val="Tabelle1"/>
      <sheetName val="IO GRAS Economic Activity 9"/>
      <sheetName val="IO GRAS Economic Activity 3"/>
    </sheetNames>
    <sheetDataSet>
      <sheetData sheetId="0"/>
      <sheetData sheetId="1"/>
      <sheetData sheetId="2"/>
      <sheetData sheetId="3"/>
      <sheetData sheetId="4"/>
      <sheetData sheetId="5">
        <row r="24">
          <cell r="B24">
            <v>0.66891309617432293</v>
          </cell>
          <cell r="C24">
            <v>0.39381981436438973</v>
          </cell>
          <cell r="D24">
            <v>0.58432471061506275</v>
          </cell>
          <cell r="E24">
            <v>0.83711224937998774</v>
          </cell>
          <cell r="F24">
            <v>0.64945861809191308</v>
          </cell>
          <cell r="G24">
            <v>0.67873517887862411</v>
          </cell>
          <cell r="H24">
            <v>0.60039724020306018</v>
          </cell>
          <cell r="I24">
            <v>0.72706912135831614</v>
          </cell>
          <cell r="J24">
            <v>0.89952126923439857</v>
          </cell>
        </row>
        <row r="25">
          <cell r="B25">
            <v>0.12087555432860778</v>
          </cell>
          <cell r="C25">
            <v>6.8423692992434407E-2</v>
          </cell>
          <cell r="D25">
            <v>0.28063390924098364</v>
          </cell>
          <cell r="E25">
            <v>7.0173665565563689E-2</v>
          </cell>
          <cell r="F25">
            <v>0.1467449333613397</v>
          </cell>
          <cell r="G25">
            <v>2.949546738574926E-2</v>
          </cell>
          <cell r="H25">
            <v>0.17042963265008579</v>
          </cell>
          <cell r="I25">
            <v>0.10772033333328307</v>
          </cell>
          <cell r="J25">
            <v>5.5028111419525415E-3</v>
          </cell>
        </row>
      </sheetData>
      <sheetData sheetId="6">
        <row r="19">
          <cell r="B19">
            <v>0.66891309617432293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02.39-40"/>
      <sheetName val="Calibration"/>
      <sheetName val="Calibration3"/>
    </sheetNames>
    <sheetDataSet>
      <sheetData sheetId="0">
        <row r="5">
          <cell r="A5">
            <v>2005</v>
          </cell>
        </row>
      </sheetData>
      <sheetData sheetId="1">
        <row r="12">
          <cell r="B12">
            <v>0.41864967694004818</v>
          </cell>
          <cell r="C12">
            <v>9.9863421808985622E-3</v>
          </cell>
          <cell r="D12">
            <v>0.16634398192965472</v>
          </cell>
          <cell r="E12">
            <v>7.1292690065062239E-2</v>
          </cell>
          <cell r="F12">
            <v>0.15328087830282836</v>
          </cell>
          <cell r="G12">
            <v>3.0285463427812419E-2</v>
          </cell>
          <cell r="H12">
            <v>4.6569786202600987E-2</v>
          </cell>
          <cell r="I12">
            <v>8.3989959251671589E-2</v>
          </cell>
          <cell r="J12">
            <v>1.9601221699422917E-2</v>
          </cell>
        </row>
      </sheetData>
      <sheetData sheetId="2">
        <row r="12">
          <cell r="B12">
            <v>0.41864967694004818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58"/>
  <sheetViews>
    <sheetView topLeftCell="A31" workbookViewId="0">
      <selection activeCell="A68" sqref="A68"/>
    </sheetView>
  </sheetViews>
  <sheetFormatPr defaultColWidth="11.42578125" defaultRowHeight="15" x14ac:dyDescent="0.25"/>
  <cols>
    <col min="1" max="1" width="24" bestFit="1" customWidth="1"/>
    <col min="2" max="2" width="108.42578125" bestFit="1" customWidth="1"/>
    <col min="3" max="3" width="14.42578125" bestFit="1" customWidth="1"/>
  </cols>
  <sheetData>
    <row r="1" spans="1:2" x14ac:dyDescent="0.25">
      <c r="A1" s="30" t="s">
        <v>51</v>
      </c>
      <c r="B1" s="30"/>
    </row>
    <row r="2" spans="1:2" x14ac:dyDescent="0.25">
      <c r="A2" s="3" t="s">
        <v>52</v>
      </c>
      <c r="B2" t="s">
        <v>55</v>
      </c>
    </row>
    <row r="3" spans="1:2" x14ac:dyDescent="0.25">
      <c r="A3" s="3" t="s">
        <v>53</v>
      </c>
      <c r="B3" t="s">
        <v>54</v>
      </c>
    </row>
    <row r="4" spans="1:2" x14ac:dyDescent="0.25">
      <c r="A4" s="3" t="s">
        <v>56</v>
      </c>
      <c r="B4" t="s">
        <v>116</v>
      </c>
    </row>
    <row r="5" spans="1:2" x14ac:dyDescent="0.25">
      <c r="A5" s="3" t="s">
        <v>3</v>
      </c>
      <c r="B5" t="s">
        <v>61</v>
      </c>
    </row>
    <row r="6" spans="1:2" x14ac:dyDescent="0.25">
      <c r="A6" s="3" t="s">
        <v>9</v>
      </c>
      <c r="B6" t="s">
        <v>60</v>
      </c>
    </row>
    <row r="7" spans="1:2" x14ac:dyDescent="0.25">
      <c r="A7" s="3" t="s">
        <v>97</v>
      </c>
    </row>
    <row r="8" spans="1:2" x14ac:dyDescent="0.25">
      <c r="A8" s="3" t="s">
        <v>98</v>
      </c>
    </row>
    <row r="9" spans="1:2" x14ac:dyDescent="0.25">
      <c r="A9" s="3" t="s">
        <v>57</v>
      </c>
      <c r="B9" t="s">
        <v>58</v>
      </c>
    </row>
    <row r="10" spans="1:2" x14ac:dyDescent="0.25">
      <c r="A10" s="3" t="s">
        <v>99</v>
      </c>
      <c r="B10" t="s">
        <v>59</v>
      </c>
    </row>
    <row r="11" spans="1:2" x14ac:dyDescent="0.25">
      <c r="A11" s="3" t="s">
        <v>100</v>
      </c>
      <c r="B11" t="s">
        <v>101</v>
      </c>
    </row>
    <row r="12" spans="1:2" x14ac:dyDescent="0.25">
      <c r="A12" s="3" t="s">
        <v>102</v>
      </c>
      <c r="B12" t="s">
        <v>103</v>
      </c>
    </row>
    <row r="13" spans="1:2" x14ac:dyDescent="0.25">
      <c r="A13" s="3" t="s">
        <v>104</v>
      </c>
      <c r="B13" t="s">
        <v>105</v>
      </c>
    </row>
    <row r="14" spans="1:2" x14ac:dyDescent="0.25">
      <c r="A14" s="3" t="s">
        <v>106</v>
      </c>
      <c r="B14" t="s">
        <v>107</v>
      </c>
    </row>
    <row r="15" spans="1:2" x14ac:dyDescent="0.25">
      <c r="A15" s="30" t="s">
        <v>10</v>
      </c>
      <c r="B15" s="30"/>
    </row>
    <row r="16" spans="1:2" x14ac:dyDescent="0.25">
      <c r="A16" t="s">
        <v>11</v>
      </c>
      <c r="B16" s="2" t="s">
        <v>31</v>
      </c>
    </row>
    <row r="17" spans="1:2" x14ac:dyDescent="0.25">
      <c r="A17" t="s">
        <v>12</v>
      </c>
      <c r="B17" s="2" t="s">
        <v>32</v>
      </c>
    </row>
    <row r="18" spans="1:2" x14ac:dyDescent="0.25">
      <c r="A18" t="s">
        <v>13</v>
      </c>
      <c r="B18" s="2" t="s">
        <v>33</v>
      </c>
    </row>
    <row r="19" spans="1:2" x14ac:dyDescent="0.25">
      <c r="A19" t="s">
        <v>14</v>
      </c>
      <c r="B19" s="2" t="s">
        <v>34</v>
      </c>
    </row>
    <row r="20" spans="1:2" x14ac:dyDescent="0.25">
      <c r="A20" t="s">
        <v>30</v>
      </c>
      <c r="B20" s="2" t="s">
        <v>35</v>
      </c>
    </row>
    <row r="21" spans="1:2" x14ac:dyDescent="0.25">
      <c r="A21" t="s">
        <v>15</v>
      </c>
      <c r="B21" s="2" t="s">
        <v>36</v>
      </c>
    </row>
    <row r="22" spans="1:2" x14ac:dyDescent="0.25">
      <c r="A22" t="s">
        <v>16</v>
      </c>
      <c r="B22" s="2" t="s">
        <v>37</v>
      </c>
    </row>
    <row r="23" spans="1:2" x14ac:dyDescent="0.25">
      <c r="A23" t="s">
        <v>17</v>
      </c>
      <c r="B23" s="2" t="s">
        <v>38</v>
      </c>
    </row>
    <row r="24" spans="1:2" x14ac:dyDescent="0.25">
      <c r="A24" t="s">
        <v>18</v>
      </c>
      <c r="B24" s="2" t="s">
        <v>39</v>
      </c>
    </row>
    <row r="25" spans="1:2" x14ac:dyDescent="0.25">
      <c r="A25" t="s">
        <v>19</v>
      </c>
      <c r="B25" s="2" t="s">
        <v>40</v>
      </c>
    </row>
    <row r="26" spans="1:2" x14ac:dyDescent="0.25">
      <c r="A26" t="s">
        <v>20</v>
      </c>
      <c r="B26" s="2" t="s">
        <v>41</v>
      </c>
    </row>
    <row r="27" spans="1:2" x14ac:dyDescent="0.25">
      <c r="A27" t="s">
        <v>21</v>
      </c>
      <c r="B27" s="2" t="s">
        <v>42</v>
      </c>
    </row>
    <row r="28" spans="1:2" x14ac:dyDescent="0.25">
      <c r="A28" t="s">
        <v>22</v>
      </c>
      <c r="B28" s="2" t="s">
        <v>43</v>
      </c>
    </row>
    <row r="29" spans="1:2" x14ac:dyDescent="0.25">
      <c r="A29" t="s">
        <v>23</v>
      </c>
      <c r="B29" s="2" t="s">
        <v>44</v>
      </c>
    </row>
    <row r="30" spans="1:2" x14ac:dyDescent="0.25">
      <c r="A30" t="s">
        <v>24</v>
      </c>
      <c r="B30" s="2" t="s">
        <v>45</v>
      </c>
    </row>
    <row r="31" spans="1:2" x14ac:dyDescent="0.25">
      <c r="A31" t="s">
        <v>25</v>
      </c>
      <c r="B31" s="2" t="s">
        <v>46</v>
      </c>
    </row>
    <row r="32" spans="1:2" x14ac:dyDescent="0.25">
      <c r="A32" t="s">
        <v>26</v>
      </c>
      <c r="B32" s="2" t="s">
        <v>47</v>
      </c>
    </row>
    <row r="33" spans="1:2" x14ac:dyDescent="0.25">
      <c r="A33" t="s">
        <v>27</v>
      </c>
      <c r="B33" s="2" t="s">
        <v>48</v>
      </c>
    </row>
    <row r="34" spans="1:2" x14ac:dyDescent="0.25">
      <c r="A34" t="s">
        <v>28</v>
      </c>
      <c r="B34" s="2" t="s">
        <v>49</v>
      </c>
    </row>
    <row r="35" spans="1:2" x14ac:dyDescent="0.25">
      <c r="A35" t="s">
        <v>29</v>
      </c>
      <c r="B35" s="2" t="s">
        <v>50</v>
      </c>
    </row>
    <row r="37" spans="1:2" x14ac:dyDescent="0.25">
      <c r="A37" s="30" t="s">
        <v>68</v>
      </c>
      <c r="B37" s="30" t="s">
        <v>69</v>
      </c>
    </row>
    <row r="38" spans="1:2" x14ac:dyDescent="0.25">
      <c r="A38" s="4">
        <v>1</v>
      </c>
      <c r="B38" t="s">
        <v>11</v>
      </c>
    </row>
    <row r="39" spans="1:2" x14ac:dyDescent="0.25">
      <c r="A39" s="4">
        <v>2</v>
      </c>
      <c r="B39" t="s">
        <v>73</v>
      </c>
    </row>
    <row r="40" spans="1:2" x14ac:dyDescent="0.25">
      <c r="A40" s="4">
        <v>3</v>
      </c>
      <c r="B40" t="s">
        <v>13</v>
      </c>
    </row>
    <row r="41" spans="1:2" x14ac:dyDescent="0.25">
      <c r="A41" s="4">
        <v>4</v>
      </c>
      <c r="B41" t="s">
        <v>15</v>
      </c>
    </row>
    <row r="42" spans="1:2" x14ac:dyDescent="0.25">
      <c r="A42" s="4">
        <v>5</v>
      </c>
      <c r="B42" t="s">
        <v>70</v>
      </c>
    </row>
    <row r="43" spans="1:2" x14ac:dyDescent="0.25">
      <c r="A43" s="4">
        <v>6</v>
      </c>
      <c r="B43" t="s">
        <v>17</v>
      </c>
    </row>
    <row r="44" spans="1:2" x14ac:dyDescent="0.25">
      <c r="A44" s="4">
        <v>7</v>
      </c>
      <c r="B44" t="s">
        <v>18</v>
      </c>
    </row>
    <row r="45" spans="1:2" x14ac:dyDescent="0.25">
      <c r="A45" s="4">
        <v>8</v>
      </c>
      <c r="B45" t="s">
        <v>71</v>
      </c>
    </row>
    <row r="46" spans="1:2" x14ac:dyDescent="0.25">
      <c r="A46" s="4">
        <v>9</v>
      </c>
      <c r="B46" t="s">
        <v>72</v>
      </c>
    </row>
    <row r="48" spans="1:2" x14ac:dyDescent="0.25">
      <c r="A48" s="30" t="s">
        <v>74</v>
      </c>
      <c r="B48" s="30"/>
    </row>
    <row r="49" spans="1:2" x14ac:dyDescent="0.25">
      <c r="A49" s="4">
        <v>1</v>
      </c>
      <c r="B49" t="s">
        <v>64</v>
      </c>
    </row>
    <row r="50" spans="1:2" x14ac:dyDescent="0.25">
      <c r="A50" s="4">
        <v>2</v>
      </c>
      <c r="B50" t="s">
        <v>63</v>
      </c>
    </row>
    <row r="51" spans="1:2" x14ac:dyDescent="0.25">
      <c r="A51" s="4">
        <v>3</v>
      </c>
      <c r="B51" t="s">
        <v>65</v>
      </c>
    </row>
    <row r="52" spans="1:2" x14ac:dyDescent="0.25">
      <c r="A52" s="4">
        <v>4</v>
      </c>
      <c r="B52" t="s">
        <v>66</v>
      </c>
    </row>
    <row r="53" spans="1:2" x14ac:dyDescent="0.25">
      <c r="A53" s="4">
        <v>5</v>
      </c>
      <c r="B53" t="s">
        <v>67</v>
      </c>
    </row>
    <row r="54" spans="1:2" x14ac:dyDescent="0.25">
      <c r="A54" s="4">
        <v>6</v>
      </c>
      <c r="B54" t="s">
        <v>114</v>
      </c>
    </row>
    <row r="55" spans="1:2" x14ac:dyDescent="0.25">
      <c r="A55" s="29"/>
      <c r="B55" s="29"/>
    </row>
    <row r="57" spans="1:2" x14ac:dyDescent="0.25">
      <c r="A57" s="29" t="s">
        <v>108</v>
      </c>
      <c r="B57" s="29"/>
    </row>
    <row r="58" spans="1:2" x14ac:dyDescent="0.25">
      <c r="A58" t="s">
        <v>115</v>
      </c>
    </row>
  </sheetData>
  <mergeCells count="6">
    <mergeCell ref="A57:B57"/>
    <mergeCell ref="A55:B55"/>
    <mergeCell ref="A1:B1"/>
    <mergeCell ref="A15:B15"/>
    <mergeCell ref="A37:B37"/>
    <mergeCell ref="A48:B48"/>
  </mergeCells>
  <hyperlinks>
    <hyperlink ref="A2" location="Start!A1" display="Start" xr:uid="{00000000-0004-0000-0000-000000000000}"/>
    <hyperlink ref="A3" location="Terminal!A1" display="Terminal" xr:uid="{00000000-0004-0000-0000-000001000000}"/>
    <hyperlink ref="A4" location="Baseline!A1" display="Baseline" xr:uid="{00000000-0004-0000-0000-000002000000}"/>
    <hyperlink ref="A9" location="Dynamics!A1" display="Dynamics" xr:uid="{00000000-0004-0000-0000-000003000000}"/>
    <hyperlink ref="A11" location="'Damage Functions TFP'!A1" display="Damage Functions TFP" xr:uid="{00000000-0004-0000-0000-000004000000}"/>
    <hyperlink ref="A12" location="'Damage Functions Labour'!A1" display="Damage Functions Labour" xr:uid="{00000000-0004-0000-0000-000005000000}"/>
    <hyperlink ref="A13" location="'Damage Functions Capital'!A1" display="Damage Functions Capital" xr:uid="{00000000-0004-0000-0000-000006000000}"/>
    <hyperlink ref="A14" location="Data!A1" display="Data" xr:uid="{00000000-0004-0000-0000-000007000000}"/>
    <hyperlink ref="A5" location="Temperature!A1" display="Temperature" xr:uid="{00000000-0004-0000-0000-000008000000}"/>
    <hyperlink ref="A6" location="SeaLevel!A1" display="Sea Level" xr:uid="{00000000-0004-0000-0000-000009000000}"/>
    <hyperlink ref="A7" location="Adaptation!A1" display="Adaptation" xr:uid="{00000000-0004-0000-0000-00000A000000}"/>
    <hyperlink ref="A8" location="Extremes!A1" display="Extremes" xr:uid="{00000000-0004-0000-0000-00000B000000}"/>
    <hyperlink ref="A10" location="'Structural Parameters'!A1" display="Strucutral Parameters" xr:uid="{00000000-0004-0000-0000-00000C000000}"/>
  </hyperlink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7"/>
  <sheetViews>
    <sheetView workbookViewId="0">
      <selection activeCell="H27" sqref="H27"/>
    </sheetView>
  </sheetViews>
  <sheetFormatPr defaultColWidth="11.42578125" defaultRowHeight="15" x14ac:dyDescent="0.25"/>
  <cols>
    <col min="1" max="1" width="23.140625" customWidth="1"/>
  </cols>
  <sheetData>
    <row r="1" spans="1:5" x14ac:dyDescent="0.25">
      <c r="A1" s="6" t="s">
        <v>62</v>
      </c>
      <c r="B1" s="7" t="s">
        <v>92</v>
      </c>
      <c r="C1" s="7"/>
      <c r="D1" s="7"/>
      <c r="E1" s="8"/>
    </row>
    <row r="2" spans="1:5" x14ac:dyDescent="0.25">
      <c r="A2" s="9">
        <v>1</v>
      </c>
      <c r="B2" s="1">
        <f>'[1]IO GRAS Economic Activity 9'!$B$25</f>
        <v>0.12087555432860778</v>
      </c>
      <c r="E2" s="10"/>
    </row>
    <row r="3" spans="1:5" x14ac:dyDescent="0.25">
      <c r="A3" s="9">
        <v>2</v>
      </c>
      <c r="B3" s="1">
        <f>'[1]IO GRAS Economic Activity 9'!$C$25</f>
        <v>6.8423692992434407E-2</v>
      </c>
      <c r="E3" s="10"/>
    </row>
    <row r="4" spans="1:5" x14ac:dyDescent="0.25">
      <c r="A4" s="9">
        <v>3</v>
      </c>
      <c r="B4" s="1">
        <f>'[1]IO GRAS Economic Activity 9'!$D$25</f>
        <v>0.28063390924098364</v>
      </c>
      <c r="E4" s="10"/>
    </row>
    <row r="5" spans="1:5" x14ac:dyDescent="0.25">
      <c r="A5" s="9">
        <v>4</v>
      </c>
      <c r="B5" s="1">
        <f>'[1]IO GRAS Economic Activity 9'!$E$25</f>
        <v>7.0173665565563689E-2</v>
      </c>
      <c r="E5" s="10"/>
    </row>
    <row r="6" spans="1:5" x14ac:dyDescent="0.25">
      <c r="A6" s="9">
        <v>5</v>
      </c>
      <c r="B6" s="1">
        <f>'[1]IO GRAS Economic Activity 9'!$F$25</f>
        <v>0.1467449333613397</v>
      </c>
      <c r="E6" s="10"/>
    </row>
    <row r="7" spans="1:5" x14ac:dyDescent="0.25">
      <c r="A7" s="9">
        <v>6</v>
      </c>
      <c r="B7" s="1">
        <f>'[1]IO GRAS Economic Activity 9'!$G$25</f>
        <v>2.949546738574926E-2</v>
      </c>
      <c r="E7" s="10"/>
    </row>
    <row r="8" spans="1:5" x14ac:dyDescent="0.25">
      <c r="A8" s="9">
        <v>7</v>
      </c>
      <c r="B8" s="1">
        <f>'[1]IO GRAS Economic Activity 9'!$H$25</f>
        <v>0.17042963265008579</v>
      </c>
      <c r="E8" s="10"/>
    </row>
    <row r="9" spans="1:5" x14ac:dyDescent="0.25">
      <c r="A9" s="9">
        <v>8</v>
      </c>
      <c r="B9" s="1">
        <f>'[1]IO GRAS Economic Activity 9'!$I$25</f>
        <v>0.10772033333328307</v>
      </c>
      <c r="E9" s="10"/>
    </row>
    <row r="10" spans="1:5" x14ac:dyDescent="0.25">
      <c r="A10" s="11">
        <v>9</v>
      </c>
      <c r="B10" s="12">
        <f>'[1]IO GRAS Economic Activity 9'!$J$25</f>
        <v>5.5028111419525415E-3</v>
      </c>
      <c r="C10" s="13"/>
      <c r="D10" s="13"/>
      <c r="E10" s="14"/>
    </row>
    <row r="11" spans="1:5" x14ac:dyDescent="0.25">
      <c r="A11" s="6" t="s">
        <v>62</v>
      </c>
      <c r="B11" s="7" t="s">
        <v>93</v>
      </c>
      <c r="C11" s="7"/>
      <c r="D11" s="7"/>
      <c r="E11" s="8"/>
    </row>
    <row r="12" spans="1:5" x14ac:dyDescent="0.25">
      <c r="A12" s="9">
        <v>1</v>
      </c>
      <c r="B12" s="1">
        <f>[2]Calibration!$B$12</f>
        <v>0.41864967694004818</v>
      </c>
      <c r="E12" s="10"/>
    </row>
    <row r="13" spans="1:5" x14ac:dyDescent="0.25">
      <c r="A13" s="9">
        <v>2</v>
      </c>
      <c r="B13" s="1">
        <f>[2]Calibration!$C$12</f>
        <v>9.9863421808985622E-3</v>
      </c>
      <c r="E13" s="10"/>
    </row>
    <row r="14" spans="1:5" x14ac:dyDescent="0.25">
      <c r="A14" s="9">
        <v>3</v>
      </c>
      <c r="B14" s="1">
        <f>[2]Calibration!$D$12</f>
        <v>0.16634398192965472</v>
      </c>
      <c r="E14" s="10"/>
    </row>
    <row r="15" spans="1:5" x14ac:dyDescent="0.25">
      <c r="A15" s="9">
        <v>4</v>
      </c>
      <c r="B15" s="1">
        <f>[2]Calibration!$E$12</f>
        <v>7.1292690065062239E-2</v>
      </c>
      <c r="E15" s="10"/>
    </row>
    <row r="16" spans="1:5" x14ac:dyDescent="0.25">
      <c r="A16" s="9">
        <v>5</v>
      </c>
      <c r="B16" s="1">
        <f>[2]Calibration!$F$12</f>
        <v>0.15328087830282836</v>
      </c>
      <c r="E16" s="10"/>
    </row>
    <row r="17" spans="1:5" x14ac:dyDescent="0.25">
      <c r="A17" s="9">
        <v>6</v>
      </c>
      <c r="B17" s="1">
        <f>[2]Calibration!$G$12</f>
        <v>3.0285463427812419E-2</v>
      </c>
      <c r="E17" s="10"/>
    </row>
    <row r="18" spans="1:5" x14ac:dyDescent="0.25">
      <c r="A18" s="9">
        <v>7</v>
      </c>
      <c r="B18" s="1">
        <f>[2]Calibration!$H$12</f>
        <v>4.6569786202600987E-2</v>
      </c>
      <c r="E18" s="10"/>
    </row>
    <row r="19" spans="1:5" x14ac:dyDescent="0.25">
      <c r="A19" s="9">
        <v>8</v>
      </c>
      <c r="B19" s="1">
        <f>[2]Calibration!$I$12</f>
        <v>8.3989959251671589E-2</v>
      </c>
      <c r="E19" s="10"/>
    </row>
    <row r="20" spans="1:5" x14ac:dyDescent="0.25">
      <c r="A20" s="9">
        <v>9</v>
      </c>
      <c r="B20" s="1">
        <f>[2]Calibration!$J$12</f>
        <v>1.9601221699422917E-2</v>
      </c>
      <c r="E20" s="10"/>
    </row>
    <row r="21" spans="1:5" x14ac:dyDescent="0.25">
      <c r="A21" s="6" t="s">
        <v>62</v>
      </c>
      <c r="B21" s="7" t="s">
        <v>94</v>
      </c>
      <c r="C21" s="7"/>
      <c r="D21" s="7"/>
      <c r="E21" s="8"/>
    </row>
    <row r="22" spans="1:5" x14ac:dyDescent="0.25">
      <c r="A22" s="9">
        <v>1</v>
      </c>
      <c r="B22" s="1">
        <f>'[1]IO GRAS Economic Activity 9'!$B$24</f>
        <v>0.66891309617432293</v>
      </c>
      <c r="E22" s="10"/>
    </row>
    <row r="23" spans="1:5" x14ac:dyDescent="0.25">
      <c r="A23" s="9">
        <v>2</v>
      </c>
      <c r="B23" s="1">
        <f>'[1]IO GRAS Economic Activity 9'!$C$24</f>
        <v>0.39381981436438973</v>
      </c>
      <c r="E23" s="10"/>
    </row>
    <row r="24" spans="1:5" x14ac:dyDescent="0.25">
      <c r="A24" s="9">
        <v>3</v>
      </c>
      <c r="B24" s="1">
        <f>'[1]IO GRAS Economic Activity 9'!$D$24</f>
        <v>0.58432471061506275</v>
      </c>
      <c r="E24" s="10"/>
    </row>
    <row r="25" spans="1:5" x14ac:dyDescent="0.25">
      <c r="A25" s="9">
        <v>4</v>
      </c>
      <c r="B25" s="1">
        <f>'[1]IO GRAS Economic Activity 9'!$E$24</f>
        <v>0.83711224937998774</v>
      </c>
      <c r="E25" s="10"/>
    </row>
    <row r="26" spans="1:5" x14ac:dyDescent="0.25">
      <c r="A26" s="9">
        <v>5</v>
      </c>
      <c r="B26" s="1">
        <f>'[1]IO GRAS Economic Activity 9'!$F$24</f>
        <v>0.64945861809191308</v>
      </c>
      <c r="E26" s="10"/>
    </row>
    <row r="27" spans="1:5" x14ac:dyDescent="0.25">
      <c r="A27" s="9">
        <v>6</v>
      </c>
      <c r="B27" s="1">
        <f>'[1]IO GRAS Economic Activity 9'!$G$24</f>
        <v>0.67873517887862411</v>
      </c>
      <c r="E27" s="10"/>
    </row>
    <row r="28" spans="1:5" x14ac:dyDescent="0.25">
      <c r="A28" s="9">
        <v>7</v>
      </c>
      <c r="B28" s="1">
        <f>'[1]IO GRAS Economic Activity 9'!$H$24</f>
        <v>0.60039724020306018</v>
      </c>
      <c r="E28" s="10"/>
    </row>
    <row r="29" spans="1:5" x14ac:dyDescent="0.25">
      <c r="A29" s="9">
        <v>8</v>
      </c>
      <c r="B29" s="1">
        <f>'[1]IO GRAS Economic Activity 9'!$I$24</f>
        <v>0.72706912135831614</v>
      </c>
      <c r="E29" s="10"/>
    </row>
    <row r="30" spans="1:5" x14ac:dyDescent="0.25">
      <c r="A30" s="11">
        <v>9</v>
      </c>
      <c r="B30" s="12">
        <f>'[1]IO GRAS Economic Activity 9'!$J$24</f>
        <v>0.89952126923439857</v>
      </c>
      <c r="C30" s="13"/>
      <c r="D30" s="13"/>
      <c r="E30" s="14"/>
    </row>
    <row r="33" spans="1:6" x14ac:dyDescent="0.25">
      <c r="A33" s="15" t="s">
        <v>194</v>
      </c>
      <c r="B33" s="16"/>
      <c r="C33" s="16"/>
      <c r="D33" s="16"/>
      <c r="E33" s="16"/>
      <c r="F33" s="17"/>
    </row>
    <row r="34" spans="1:6" x14ac:dyDescent="0.25">
      <c r="A34" s="18" t="s">
        <v>109</v>
      </c>
      <c r="B34" s="19" t="s">
        <v>75</v>
      </c>
      <c r="C34" s="19" t="s">
        <v>81</v>
      </c>
      <c r="D34" s="19" t="s">
        <v>82</v>
      </c>
      <c r="E34" s="19" t="s">
        <v>83</v>
      </c>
      <c r="F34" s="20" t="s">
        <v>84</v>
      </c>
    </row>
    <row r="35" spans="1:6" x14ac:dyDescent="0.25">
      <c r="A35" s="9" t="s">
        <v>76</v>
      </c>
      <c r="B35">
        <v>33123.599999999999</v>
      </c>
      <c r="C35">
        <v>11508</v>
      </c>
      <c r="D35">
        <v>14910.5</v>
      </c>
      <c r="E35">
        <v>1874.3</v>
      </c>
      <c r="F35" s="10">
        <v>714.9</v>
      </c>
    </row>
    <row r="36" spans="1:6" x14ac:dyDescent="0.25">
      <c r="A36" s="9" t="s">
        <v>64</v>
      </c>
      <c r="B36">
        <v>2125.5</v>
      </c>
      <c r="C36">
        <v>791.7</v>
      </c>
      <c r="D36">
        <v>493.7</v>
      </c>
      <c r="E36">
        <v>320.7</v>
      </c>
      <c r="F36" s="10">
        <v>145.9</v>
      </c>
    </row>
    <row r="37" spans="1:6" x14ac:dyDescent="0.25">
      <c r="A37" s="9" t="s">
        <v>77</v>
      </c>
      <c r="B37">
        <v>9520.2999999999993</v>
      </c>
      <c r="C37">
        <v>2121</v>
      </c>
      <c r="D37">
        <v>5396.7</v>
      </c>
      <c r="E37">
        <v>329.5</v>
      </c>
      <c r="F37" s="10">
        <v>112</v>
      </c>
    </row>
    <row r="38" spans="1:6" x14ac:dyDescent="0.25">
      <c r="A38" s="9" t="s">
        <v>78</v>
      </c>
      <c r="B38">
        <v>9565.5</v>
      </c>
      <c r="C38">
        <v>2195</v>
      </c>
      <c r="D38">
        <v>5750.8</v>
      </c>
      <c r="E38">
        <v>559.79999999999995</v>
      </c>
      <c r="F38" s="10">
        <v>187.8</v>
      </c>
    </row>
    <row r="39" spans="1:6" x14ac:dyDescent="0.25">
      <c r="A39" s="9" t="s">
        <v>66</v>
      </c>
      <c r="B39">
        <v>5450.9</v>
      </c>
      <c r="C39">
        <v>2421.3000000000002</v>
      </c>
      <c r="D39">
        <v>2489.5</v>
      </c>
      <c r="E39">
        <v>194.9</v>
      </c>
      <c r="F39" s="10">
        <v>59.7</v>
      </c>
    </row>
    <row r="40" spans="1:6" x14ac:dyDescent="0.25">
      <c r="A40" s="9" t="s">
        <v>79</v>
      </c>
      <c r="B40">
        <v>2352</v>
      </c>
      <c r="C40">
        <v>1359.8</v>
      </c>
      <c r="D40">
        <v>502.7</v>
      </c>
      <c r="E40">
        <v>223.9</v>
      </c>
      <c r="F40" s="10">
        <v>82.3</v>
      </c>
    </row>
    <row r="41" spans="1:6" x14ac:dyDescent="0.25">
      <c r="A41" s="11" t="s">
        <v>80</v>
      </c>
      <c r="B41" s="13">
        <v>4081.4</v>
      </c>
      <c r="C41" s="13">
        <v>2618.1</v>
      </c>
      <c r="D41" s="13">
        <v>253.6</v>
      </c>
      <c r="E41" s="13">
        <v>245.4</v>
      </c>
      <c r="F41" s="14">
        <v>127.2</v>
      </c>
    </row>
    <row r="42" spans="1:6" x14ac:dyDescent="0.25">
      <c r="A42" s="15" t="s">
        <v>110</v>
      </c>
      <c r="B42" s="16"/>
      <c r="C42" s="16"/>
      <c r="D42" s="16"/>
      <c r="E42" s="16"/>
      <c r="F42" s="17"/>
    </row>
    <row r="43" spans="1:6" x14ac:dyDescent="0.25">
      <c r="A43" s="18" t="s">
        <v>85</v>
      </c>
      <c r="B43" s="19">
        <v>2016</v>
      </c>
      <c r="C43" s="19">
        <v>2017</v>
      </c>
      <c r="D43" s="19">
        <v>2018</v>
      </c>
      <c r="E43" s="19" t="s">
        <v>86</v>
      </c>
      <c r="F43" s="20" t="s">
        <v>87</v>
      </c>
    </row>
    <row r="44" spans="1:6" x14ac:dyDescent="0.25">
      <c r="A44" s="9" t="s">
        <v>76</v>
      </c>
      <c r="B44">
        <v>110100</v>
      </c>
      <c r="C44">
        <v>126859</v>
      </c>
      <c r="D44">
        <v>13275</v>
      </c>
      <c r="E44">
        <f t="shared" ref="E44:E50" si="0">SUM(B44:D44)</f>
        <v>250234</v>
      </c>
      <c r="F44" s="21">
        <f>B44/B$44</f>
        <v>1</v>
      </c>
    </row>
    <row r="45" spans="1:6" x14ac:dyDescent="0.25">
      <c r="A45" s="9" t="s">
        <v>64</v>
      </c>
      <c r="B45">
        <v>4193</v>
      </c>
      <c r="C45">
        <v>5300</v>
      </c>
      <c r="D45">
        <v>5271</v>
      </c>
      <c r="E45">
        <f t="shared" si="0"/>
        <v>14764</v>
      </c>
      <c r="F45" s="21">
        <f t="shared" ref="F45:F50" si="1">B45/B$44</f>
        <v>3.8083560399636694E-2</v>
      </c>
    </row>
    <row r="46" spans="1:6" x14ac:dyDescent="0.25">
      <c r="A46" s="9" t="s">
        <v>77</v>
      </c>
      <c r="B46">
        <v>14825</v>
      </c>
      <c r="C46">
        <v>17556</v>
      </c>
      <c r="D46">
        <v>18820</v>
      </c>
      <c r="E46">
        <f t="shared" si="0"/>
        <v>51201</v>
      </c>
      <c r="F46" s="21">
        <f t="shared" si="1"/>
        <v>0.13465031789282469</v>
      </c>
    </row>
    <row r="47" spans="1:6" x14ac:dyDescent="0.25">
      <c r="A47" s="9" t="s">
        <v>78</v>
      </c>
      <c r="B47">
        <v>2631</v>
      </c>
      <c r="C47">
        <v>3236</v>
      </c>
      <c r="D47">
        <v>3219</v>
      </c>
      <c r="E47">
        <f t="shared" si="0"/>
        <v>9086</v>
      </c>
      <c r="F47" s="21">
        <f t="shared" si="1"/>
        <v>2.3896457765667574E-2</v>
      </c>
    </row>
    <row r="48" spans="1:6" x14ac:dyDescent="0.25">
      <c r="A48" s="9" t="s">
        <v>66</v>
      </c>
      <c r="B48">
        <v>47108</v>
      </c>
      <c r="C48">
        <v>53698</v>
      </c>
      <c r="D48">
        <v>55821</v>
      </c>
      <c r="E48">
        <f t="shared" si="0"/>
        <v>156627</v>
      </c>
      <c r="F48" s="21">
        <f t="shared" si="1"/>
        <v>0.42786557674841053</v>
      </c>
    </row>
    <row r="49" spans="1:6" x14ac:dyDescent="0.25">
      <c r="A49" s="9" t="s">
        <v>79</v>
      </c>
      <c r="B49">
        <v>47108</v>
      </c>
      <c r="C49">
        <v>53698</v>
      </c>
      <c r="D49">
        <v>55821</v>
      </c>
      <c r="E49">
        <f t="shared" si="0"/>
        <v>156627</v>
      </c>
      <c r="F49" s="21">
        <f t="shared" si="1"/>
        <v>0.42786557674841053</v>
      </c>
    </row>
    <row r="50" spans="1:6" x14ac:dyDescent="0.25">
      <c r="A50" s="11" t="s">
        <v>80</v>
      </c>
      <c r="B50" s="13">
        <v>7890</v>
      </c>
      <c r="C50" s="13">
        <v>8994</v>
      </c>
      <c r="D50" s="13">
        <v>9271</v>
      </c>
      <c r="E50" s="13">
        <f t="shared" si="0"/>
        <v>26155</v>
      </c>
      <c r="F50" s="22">
        <f t="shared" si="1"/>
        <v>7.1662125340599458E-2</v>
      </c>
    </row>
    <row r="51" spans="1:6" x14ac:dyDescent="0.25">
      <c r="A51" s="15" t="s">
        <v>111</v>
      </c>
      <c r="B51" s="16"/>
      <c r="C51" s="16"/>
      <c r="D51" s="17"/>
    </row>
    <row r="52" spans="1:6" x14ac:dyDescent="0.25">
      <c r="A52" s="18" t="s">
        <v>88</v>
      </c>
      <c r="B52" s="19">
        <v>2017</v>
      </c>
      <c r="C52" s="19">
        <v>2018</v>
      </c>
      <c r="D52" s="20" t="s">
        <v>87</v>
      </c>
    </row>
    <row r="53" spans="1:6" x14ac:dyDescent="0.25">
      <c r="A53" s="9" t="s">
        <v>76</v>
      </c>
      <c r="B53">
        <v>654633</v>
      </c>
      <c r="C53">
        <v>714755</v>
      </c>
      <c r="D53" s="21">
        <f>B53/B$53</f>
        <v>1</v>
      </c>
    </row>
    <row r="54" spans="1:6" x14ac:dyDescent="0.25">
      <c r="A54" s="9" t="s">
        <v>64</v>
      </c>
      <c r="B54">
        <v>207376</v>
      </c>
      <c r="C54">
        <v>222324</v>
      </c>
      <c r="D54" s="21">
        <f t="shared" ref="D54:D59" si="2">B54/B$53</f>
        <v>0.31678207484193432</v>
      </c>
    </row>
    <row r="55" spans="1:6" x14ac:dyDescent="0.25">
      <c r="A55" s="9" t="s">
        <v>77</v>
      </c>
      <c r="B55">
        <v>28302</v>
      </c>
      <c r="C55">
        <v>30370</v>
      </c>
      <c r="D55" s="21">
        <f t="shared" si="2"/>
        <v>4.3233384201529709E-2</v>
      </c>
    </row>
    <row r="56" spans="1:6" x14ac:dyDescent="0.25">
      <c r="A56" s="9" t="s">
        <v>78</v>
      </c>
      <c r="B56">
        <v>88222</v>
      </c>
      <c r="C56">
        <v>95558</v>
      </c>
      <c r="D56" s="21">
        <f t="shared" si="2"/>
        <v>0.13476558621395499</v>
      </c>
    </row>
    <row r="57" spans="1:6" x14ac:dyDescent="0.25">
      <c r="A57" s="9" t="s">
        <v>66</v>
      </c>
      <c r="B57">
        <v>17533</v>
      </c>
      <c r="C57">
        <v>18489</v>
      </c>
      <c r="D57" s="21">
        <f t="shared" si="2"/>
        <v>2.6782945558809286E-2</v>
      </c>
    </row>
    <row r="58" spans="1:6" x14ac:dyDescent="0.25">
      <c r="A58" s="9" t="s">
        <v>79</v>
      </c>
      <c r="B58">
        <v>263426</v>
      </c>
      <c r="C58">
        <v>294940</v>
      </c>
      <c r="D58" s="21">
        <f t="shared" si="2"/>
        <v>0.40240256754547971</v>
      </c>
    </row>
    <row r="59" spans="1:6" x14ac:dyDescent="0.25">
      <c r="A59" s="11" t="s">
        <v>80</v>
      </c>
      <c r="B59" s="13">
        <v>49774</v>
      </c>
      <c r="C59" s="13">
        <v>53074</v>
      </c>
      <c r="D59" s="22">
        <f t="shared" si="2"/>
        <v>7.6033441638291996E-2</v>
      </c>
    </row>
    <row r="60" spans="1:6" x14ac:dyDescent="0.25">
      <c r="A60" s="15" t="s">
        <v>112</v>
      </c>
      <c r="B60" s="16"/>
      <c r="C60" s="17"/>
    </row>
    <row r="61" spans="1:6" x14ac:dyDescent="0.25">
      <c r="A61" s="18" t="s">
        <v>89</v>
      </c>
      <c r="B61" s="19" t="s">
        <v>75</v>
      </c>
      <c r="C61" s="20" t="s">
        <v>87</v>
      </c>
    </row>
    <row r="62" spans="1:6" x14ac:dyDescent="0.25">
      <c r="A62" s="9" t="s">
        <v>76</v>
      </c>
      <c r="B62">
        <v>17830</v>
      </c>
      <c r="C62" s="21">
        <f t="shared" ref="C62:C68" si="3">B62/B$62</f>
        <v>1</v>
      </c>
    </row>
    <row r="63" spans="1:6" x14ac:dyDescent="0.25">
      <c r="A63" s="9" t="s">
        <v>64</v>
      </c>
      <c r="B63">
        <v>5534</v>
      </c>
      <c r="C63" s="21">
        <f t="shared" si="3"/>
        <v>0.31037577117218174</v>
      </c>
    </row>
    <row r="64" spans="1:6" x14ac:dyDescent="0.25">
      <c r="A64" s="9" t="s">
        <v>77</v>
      </c>
      <c r="B64">
        <v>152</v>
      </c>
      <c r="C64" s="21">
        <f t="shared" si="3"/>
        <v>8.5249579360628155E-3</v>
      </c>
    </row>
    <row r="65" spans="1:4" x14ac:dyDescent="0.25">
      <c r="A65" s="9" t="s">
        <v>78</v>
      </c>
      <c r="B65">
        <v>6024</v>
      </c>
      <c r="C65" s="21">
        <f t="shared" si="3"/>
        <v>0.33785754346606844</v>
      </c>
    </row>
    <row r="66" spans="1:4" x14ac:dyDescent="0.25">
      <c r="A66" s="9" t="s">
        <v>66</v>
      </c>
      <c r="B66">
        <v>108</v>
      </c>
      <c r="C66" s="21">
        <f t="shared" si="3"/>
        <v>6.0572069545709482E-3</v>
      </c>
    </row>
    <row r="67" spans="1:4" x14ac:dyDescent="0.25">
      <c r="A67" s="9" t="s">
        <v>79</v>
      </c>
      <c r="B67">
        <v>4638</v>
      </c>
      <c r="C67" s="21">
        <f t="shared" si="3"/>
        <v>0.2601233875490746</v>
      </c>
    </row>
    <row r="68" spans="1:4" x14ac:dyDescent="0.25">
      <c r="A68" s="9" t="s">
        <v>80</v>
      </c>
      <c r="B68">
        <v>1374</v>
      </c>
      <c r="C68" s="22">
        <f t="shared" si="3"/>
        <v>7.7061132922041503E-2</v>
      </c>
    </row>
    <row r="69" spans="1:4" x14ac:dyDescent="0.25">
      <c r="A69" s="15" t="s">
        <v>113</v>
      </c>
      <c r="B69" s="16" t="s">
        <v>90</v>
      </c>
      <c r="C69" s="16"/>
      <c r="D69" s="17"/>
    </row>
    <row r="70" spans="1:4" x14ac:dyDescent="0.25">
      <c r="A70" s="9"/>
      <c r="B70" s="19" t="s">
        <v>91</v>
      </c>
      <c r="C70" s="19" t="s">
        <v>87</v>
      </c>
      <c r="D70" s="20" t="s">
        <v>87</v>
      </c>
    </row>
    <row r="71" spans="1:4" x14ac:dyDescent="0.25">
      <c r="A71" s="9" t="s">
        <v>76</v>
      </c>
      <c r="B71">
        <v>331235.7</v>
      </c>
      <c r="C71">
        <v>94666</v>
      </c>
      <c r="D71" s="21">
        <f t="shared" ref="D71:D77" si="4">C71/C$71</f>
        <v>1</v>
      </c>
    </row>
    <row r="72" spans="1:4" x14ac:dyDescent="0.25">
      <c r="A72" s="9" t="s">
        <v>64</v>
      </c>
      <c r="B72">
        <v>21260</v>
      </c>
      <c r="C72">
        <v>21566.400000000001</v>
      </c>
      <c r="D72" s="21">
        <f t="shared" si="4"/>
        <v>0.2278156888428792</v>
      </c>
    </row>
    <row r="73" spans="1:4" x14ac:dyDescent="0.25">
      <c r="A73" s="9" t="s">
        <v>77</v>
      </c>
      <c r="B73">
        <v>95222.2</v>
      </c>
      <c r="C73">
        <v>12292.7</v>
      </c>
      <c r="D73" s="21">
        <f t="shared" si="4"/>
        <v>0.12985337924914964</v>
      </c>
    </row>
    <row r="74" spans="1:4" x14ac:dyDescent="0.25">
      <c r="A74" s="9" t="s">
        <v>78</v>
      </c>
      <c r="B74">
        <v>95876</v>
      </c>
      <c r="C74">
        <v>20056.900000000001</v>
      </c>
      <c r="D74" s="21">
        <f t="shared" si="4"/>
        <v>0.21187015401516915</v>
      </c>
    </row>
    <row r="75" spans="1:4" x14ac:dyDescent="0.25">
      <c r="A75" s="9" t="s">
        <v>66</v>
      </c>
      <c r="B75">
        <v>54508.3</v>
      </c>
      <c r="C75">
        <v>5871</v>
      </c>
      <c r="D75" s="21">
        <f t="shared" si="4"/>
        <v>6.2018042380580146E-2</v>
      </c>
    </row>
    <row r="76" spans="1:4" x14ac:dyDescent="0.25">
      <c r="A76" s="9" t="s">
        <v>79</v>
      </c>
      <c r="B76">
        <v>23552.799999999999</v>
      </c>
      <c r="C76">
        <v>17074.3</v>
      </c>
      <c r="D76" s="21">
        <f t="shared" si="4"/>
        <v>0.18036359410981767</v>
      </c>
    </row>
    <row r="77" spans="1:4" x14ac:dyDescent="0.25">
      <c r="A77" s="11" t="s">
        <v>80</v>
      </c>
      <c r="B77" s="13">
        <v>40816.400000000001</v>
      </c>
      <c r="C77" s="13">
        <v>17804.7</v>
      </c>
      <c r="D77" s="22">
        <f t="shared" si="4"/>
        <v>0.18807914140240425</v>
      </c>
    </row>
    <row r="303" spans="4:5" x14ac:dyDescent="0.25">
      <c r="D303">
        <v>3</v>
      </c>
      <c r="E303">
        <v>1</v>
      </c>
    </row>
    <row r="328" spans="5:5" x14ac:dyDescent="0.25">
      <c r="E328">
        <v>2</v>
      </c>
    </row>
    <row r="354" spans="5:5" x14ac:dyDescent="0.25">
      <c r="E354">
        <v>3</v>
      </c>
    </row>
    <row r="379" spans="5:5" x14ac:dyDescent="0.25">
      <c r="E379">
        <v>4</v>
      </c>
    </row>
    <row r="404" spans="5:5" x14ac:dyDescent="0.25">
      <c r="E404">
        <v>5</v>
      </c>
    </row>
    <row r="429" spans="5:5" x14ac:dyDescent="0.25">
      <c r="E429">
        <v>6</v>
      </c>
    </row>
    <row r="1348" spans="8:9" x14ac:dyDescent="0.25">
      <c r="H1348">
        <v>1</v>
      </c>
    </row>
    <row r="1349" spans="8:9" x14ac:dyDescent="0.25">
      <c r="H1349">
        <v>2</v>
      </c>
    </row>
    <row r="1350" spans="8:9" x14ac:dyDescent="0.25">
      <c r="H1350">
        <v>3</v>
      </c>
    </row>
    <row r="1351" spans="8:9" x14ac:dyDescent="0.25">
      <c r="H1351">
        <v>4</v>
      </c>
    </row>
    <row r="1352" spans="8:9" x14ac:dyDescent="0.25">
      <c r="H1352">
        <v>5</v>
      </c>
    </row>
    <row r="1353" spans="8:9" x14ac:dyDescent="0.25">
      <c r="H1353">
        <v>6</v>
      </c>
    </row>
    <row r="1354" spans="8:9" x14ac:dyDescent="0.25">
      <c r="H1354">
        <v>7</v>
      </c>
    </row>
    <row r="1355" spans="8:9" x14ac:dyDescent="0.25">
      <c r="H1355">
        <v>8</v>
      </c>
    </row>
    <row r="1356" spans="8:9" x14ac:dyDescent="0.25">
      <c r="H1356">
        <v>9</v>
      </c>
    </row>
    <row r="1357" spans="8:9" x14ac:dyDescent="0.25">
      <c r="H1357">
        <f>SUM(H1348:H1356)</f>
        <v>45</v>
      </c>
      <c r="I1357">
        <f>H1357*6</f>
        <v>270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51"/>
  <sheetViews>
    <sheetView topLeftCell="A1364" workbookViewId="0">
      <selection activeCell="I16" sqref="I16"/>
    </sheetView>
  </sheetViews>
  <sheetFormatPr defaultColWidth="11.42578125" defaultRowHeight="15" x14ac:dyDescent="0.25"/>
  <cols>
    <col min="1" max="1" width="24.28515625" customWidth="1"/>
  </cols>
  <sheetData>
    <row r="1" spans="1:8" x14ac:dyDescent="0.25">
      <c r="A1" s="23" t="s">
        <v>0</v>
      </c>
      <c r="B1" s="23" t="s">
        <v>1</v>
      </c>
      <c r="C1" s="23" t="s">
        <v>2</v>
      </c>
      <c r="D1" s="23"/>
      <c r="E1" s="19"/>
      <c r="F1" s="19"/>
    </row>
    <row r="2" spans="1:8" x14ac:dyDescent="0.25">
      <c r="A2" s="28" t="str">
        <f>"sector " &amp; D2 &amp; " and region " &amp;E2</f>
        <v>sector 1 and region 1</v>
      </c>
      <c r="B2" s="28"/>
      <c r="C2" s="28"/>
      <c r="D2" s="19">
        <v>1</v>
      </c>
      <c r="E2" s="19">
        <v>1</v>
      </c>
      <c r="F2" s="19" t="str">
        <f>D2 &amp; "_" &amp; E2</f>
        <v>1_1</v>
      </c>
    </row>
    <row r="3" spans="1:8" x14ac:dyDescent="0.25">
      <c r="A3" s="5" t="s">
        <v>3</v>
      </c>
    </row>
    <row r="4" spans="1:8" x14ac:dyDescent="0.25">
      <c r="A4" t="str" cm="1">
        <f t="array" aca="1" ref="A4" ca="1">"aN_T_1_" &amp; INDIRECT("F" &amp; ROW(C4)-2) &amp; "_p"</f>
        <v>aN_T_1_1_1_p</v>
      </c>
      <c r="B4">
        <v>0</v>
      </c>
      <c r="C4" t="s">
        <v>4</v>
      </c>
    </row>
    <row r="5" spans="1:8" x14ac:dyDescent="0.25">
      <c r="A5" t="str" cm="1">
        <f t="array" aca="1" ref="A5" ca="1">"aN_T_2_" &amp; INDIRECT("F" &amp; ROW(C5)-3) &amp; "_p"</f>
        <v>aN_T_2_1_1_p</v>
      </c>
      <c r="B5">
        <v>0</v>
      </c>
      <c r="C5" t="s">
        <v>5</v>
      </c>
    </row>
    <row r="6" spans="1:8" x14ac:dyDescent="0.25">
      <c r="A6" t="str" cm="1">
        <f t="array" aca="1" ref="A6" ca="1">"aN_T_3_" &amp; INDIRECT("F" &amp; ROW(C6)-4) &amp; "_p"</f>
        <v>aN_T_3_1_1_p</v>
      </c>
      <c r="B6">
        <v>1</v>
      </c>
      <c r="C6" t="s">
        <v>6</v>
      </c>
    </row>
    <row r="7" spans="1:8" x14ac:dyDescent="0.25">
      <c r="A7" s="5" t="s">
        <v>8</v>
      </c>
    </row>
    <row r="8" spans="1:8" x14ac:dyDescent="0.25">
      <c r="A8" t="str" cm="1">
        <f t="array" aca="1" ref="A8" ca="1">"aN_WS_1_" &amp; INDIRECT("F" &amp; ROW(C8)-6) &amp; "_p"</f>
        <v>aN_WS_1_1_1_p</v>
      </c>
      <c r="B8">
        <v>0</v>
      </c>
      <c r="C8" t="s">
        <v>4</v>
      </c>
    </row>
    <row r="9" spans="1:8" x14ac:dyDescent="0.25">
      <c r="A9" t="str" cm="1">
        <f t="array" aca="1" ref="A9" ca="1">"aN_WS_2_" &amp; INDIRECT("F" &amp; ROW(C9)-7) &amp; "_p"</f>
        <v>aN_WS_2_1_1_p</v>
      </c>
      <c r="B9">
        <v>0</v>
      </c>
      <c r="C9" t="s">
        <v>5</v>
      </c>
    </row>
    <row r="10" spans="1:8" x14ac:dyDescent="0.25">
      <c r="A10" t="str" cm="1">
        <f t="array" aca="1" ref="A10" ca="1">"aN_WS_3_" &amp; INDIRECT("F" &amp; ROW(C10)-8) &amp; "_p"</f>
        <v>aN_WS_3_1_1_p</v>
      </c>
      <c r="B10">
        <v>2</v>
      </c>
      <c r="C10" t="s">
        <v>6</v>
      </c>
    </row>
    <row r="11" spans="1:8" x14ac:dyDescent="0.25">
      <c r="A11" s="5" t="s">
        <v>7</v>
      </c>
      <c r="F11" s="27"/>
      <c r="G11" s="27"/>
      <c r="H11" s="27"/>
    </row>
    <row r="12" spans="1:8" x14ac:dyDescent="0.25">
      <c r="A12" t="str" cm="1">
        <f t="array" aca="1" ref="A12" ca="1">"aN_PREC_1_" &amp; INDIRECT("F" &amp; ROW(C12) - 10) &amp; "_p"</f>
        <v>aN_PREC_1_1_1_p</v>
      </c>
      <c r="B12">
        <v>0</v>
      </c>
      <c r="C12" t="s">
        <v>4</v>
      </c>
    </row>
    <row r="13" spans="1:8" x14ac:dyDescent="0.25">
      <c r="A13" t="str" cm="1">
        <f t="array" aca="1" ref="A13" ca="1">"aN_PREC_2_" &amp; INDIRECT("F" &amp; ROW(C13) - 11) &amp; "_p"</f>
        <v>aN_PREC_2_1_1_p</v>
      </c>
      <c r="B13">
        <v>0</v>
      </c>
      <c r="C13" t="s">
        <v>5</v>
      </c>
    </row>
    <row r="14" spans="1:8" x14ac:dyDescent="0.25">
      <c r="A14" t="str" cm="1">
        <f t="array" aca="1" ref="A14" ca="1">"aN_PREC_3_" &amp; INDIRECT("F" &amp; ROW(C14) - 12) &amp; "_p"</f>
        <v>aN_PREC_3_1_1_p</v>
      </c>
      <c r="B14">
        <v>2</v>
      </c>
      <c r="C14" t="s">
        <v>6</v>
      </c>
    </row>
    <row r="15" spans="1:8" x14ac:dyDescent="0.25">
      <c r="A15" s="5" t="s">
        <v>9</v>
      </c>
      <c r="F15" s="27"/>
      <c r="G15" s="27"/>
      <c r="H15" s="27"/>
    </row>
    <row r="16" spans="1:8" x14ac:dyDescent="0.25">
      <c r="A16" t="str" cm="1">
        <f t="array" aca="1" ref="A16" ca="1">"aN_SL_1_" &amp; INDIRECT("F" &amp; ROW(C16) - 14) &amp; "_p"</f>
        <v>aN_SL_1_1_1_p</v>
      </c>
      <c r="B16">
        <v>0</v>
      </c>
      <c r="C16" t="s">
        <v>4</v>
      </c>
    </row>
    <row r="17" spans="1:6" x14ac:dyDescent="0.25">
      <c r="A17" t="str" cm="1">
        <f t="array" aca="1" ref="A17" ca="1">"aN_SL_2_" &amp; INDIRECT("F" &amp; ROW(C17) - 15) &amp; "_p"</f>
        <v>aN_SL_2_1_1_p</v>
      </c>
      <c r="B17">
        <v>0</v>
      </c>
      <c r="C17" t="s">
        <v>5</v>
      </c>
    </row>
    <row r="18" spans="1:6" x14ac:dyDescent="0.25">
      <c r="A18" t="str" cm="1">
        <f t="array" aca="1" ref="A18" ca="1">"aN_SL_3_" &amp; INDIRECT("F" &amp; ROW(C18) - 16) &amp; "_p"</f>
        <v>aN_SL_3_1_1_p</v>
      </c>
      <c r="B18">
        <v>2</v>
      </c>
      <c r="C18" t="s">
        <v>6</v>
      </c>
    </row>
    <row r="19" spans="1:6" x14ac:dyDescent="0.25">
      <c r="A19" s="5" t="s">
        <v>95</v>
      </c>
    </row>
    <row r="20" spans="1:6" x14ac:dyDescent="0.25">
      <c r="A20" t="str" cm="1">
        <f t="array" aca="1" ref="A20" ca="1">"aN_DRO_1_" &amp; INDIRECT("F" &amp; ROW(C20) - 18) &amp; "_p"</f>
        <v>aN_DRO_1_1_1_p</v>
      </c>
      <c r="B20">
        <v>0.01</v>
      </c>
      <c r="C20" t="s">
        <v>4</v>
      </c>
    </row>
    <row r="21" spans="1:6" x14ac:dyDescent="0.25">
      <c r="A21" t="str" cm="1">
        <f t="array" aca="1" ref="A21" ca="1">"aN_DRO_2_" &amp; INDIRECT("F" &amp; ROW(C21) - 19) &amp; "_p"</f>
        <v>aN_DRO_2_1_1_p</v>
      </c>
      <c r="B21">
        <v>0</v>
      </c>
      <c r="C21" t="s">
        <v>5</v>
      </c>
    </row>
    <row r="22" spans="1:6" x14ac:dyDescent="0.25">
      <c r="A22" t="str" cm="1">
        <f t="array" aca="1" ref="A22" ca="1">"aN_DRO_3_" &amp; INDIRECT("F" &amp; ROW(C22) - 20) &amp; "_p"</f>
        <v>aN_DRO_3_1_1_p</v>
      </c>
      <c r="B22">
        <v>2</v>
      </c>
      <c r="C22" t="s">
        <v>6</v>
      </c>
    </row>
    <row r="23" spans="1:6" x14ac:dyDescent="0.25">
      <c r="A23" s="5" t="s">
        <v>96</v>
      </c>
    </row>
    <row r="24" spans="1:6" x14ac:dyDescent="0.25">
      <c r="A24" t="str" cm="1">
        <f t="array" aca="1" ref="A24" ca="1">"aN_CYC_1_" &amp; INDIRECT("F" &amp; ROW(C24) - 22) &amp; "_p"</f>
        <v>aN_CYC_1_1_1_p</v>
      </c>
      <c r="B24">
        <v>0</v>
      </c>
      <c r="C24" t="s">
        <v>4</v>
      </c>
    </row>
    <row r="25" spans="1:6" x14ac:dyDescent="0.25">
      <c r="A25" t="str" cm="1">
        <f t="array" aca="1" ref="A25" ca="1">"aN_CYC_2_" &amp; INDIRECT("F" &amp; ROW(C25) - 23) &amp; "_p"</f>
        <v>aN_CYC_2_1_1_p</v>
      </c>
      <c r="B25">
        <v>0</v>
      </c>
      <c r="C25" t="s">
        <v>5</v>
      </c>
    </row>
    <row r="26" spans="1:6" x14ac:dyDescent="0.25">
      <c r="A26" t="str" cm="1">
        <f t="array" aca="1" ref="A26" ca="1">"aN_CYC_3_" &amp; INDIRECT("F" &amp; ROW(C26) - 24) &amp; "_p"</f>
        <v>aN_CYC_3_1_1_p</v>
      </c>
      <c r="B26">
        <v>2</v>
      </c>
      <c r="C26" t="s">
        <v>6</v>
      </c>
    </row>
    <row r="27" spans="1:6" x14ac:dyDescent="0.25">
      <c r="A27" s="26" t="str">
        <f>"sector " &amp; D27 &amp; " and region " &amp;E27</f>
        <v>sector 1 and region 2</v>
      </c>
      <c r="B27" s="26"/>
      <c r="C27" s="26"/>
      <c r="D27" s="24">
        <v>1</v>
      </c>
      <c r="E27" s="24">
        <v>2</v>
      </c>
      <c r="F27" s="24" t="str">
        <f>D27 &amp; "_" &amp; E27</f>
        <v>1_2</v>
      </c>
    </row>
    <row r="28" spans="1:6" x14ac:dyDescent="0.25">
      <c r="A28" s="5" t="s">
        <v>3</v>
      </c>
    </row>
    <row r="29" spans="1:6" x14ac:dyDescent="0.25">
      <c r="A29" t="str" cm="1">
        <f t="array" aca="1" ref="A29" ca="1">"aN_T_1_" &amp; INDIRECT("F" &amp; ROW(C29)-2) &amp; "_p"</f>
        <v>aN_T_1_1_2_p</v>
      </c>
      <c r="B29">
        <v>0</v>
      </c>
      <c r="C29" t="s">
        <v>4</v>
      </c>
    </row>
    <row r="30" spans="1:6" x14ac:dyDescent="0.25">
      <c r="A30" t="str" cm="1">
        <f t="array" aca="1" ref="A30" ca="1">"aN_T_2_" &amp; INDIRECT("F" &amp; ROW(C30)-3) &amp; "_p"</f>
        <v>aN_T_2_1_2_p</v>
      </c>
      <c r="B30">
        <v>0</v>
      </c>
      <c r="C30" t="s">
        <v>5</v>
      </c>
    </row>
    <row r="31" spans="1:6" x14ac:dyDescent="0.25">
      <c r="A31" t="str" cm="1">
        <f t="array" aca="1" ref="A31" ca="1">"aN_T_3_" &amp; INDIRECT("F" &amp; ROW(C31)-4) &amp; "_p"</f>
        <v>aN_T_3_1_2_p</v>
      </c>
      <c r="B31">
        <v>1</v>
      </c>
      <c r="C31" t="s">
        <v>6</v>
      </c>
    </row>
    <row r="32" spans="1:6" x14ac:dyDescent="0.25">
      <c r="A32" s="5" t="s">
        <v>8</v>
      </c>
    </row>
    <row r="33" spans="1:8" x14ac:dyDescent="0.25">
      <c r="A33" t="str" cm="1">
        <f t="array" aca="1" ref="A33" ca="1">"aN_WS_1_" &amp; INDIRECT("F" &amp; ROW(C33)-6) &amp; "_p"</f>
        <v>aN_WS_1_1_2_p</v>
      </c>
      <c r="B33">
        <v>0</v>
      </c>
      <c r="C33" t="s">
        <v>4</v>
      </c>
    </row>
    <row r="34" spans="1:8" x14ac:dyDescent="0.25">
      <c r="A34" t="str" cm="1">
        <f t="array" aca="1" ref="A34" ca="1">"aN_WS_2_" &amp; INDIRECT("F" &amp; ROW(C34)-7) &amp; "_p"</f>
        <v>aN_WS_2_1_2_p</v>
      </c>
      <c r="B34">
        <v>0</v>
      </c>
      <c r="C34" t="s">
        <v>5</v>
      </c>
    </row>
    <row r="35" spans="1:8" x14ac:dyDescent="0.25">
      <c r="A35" t="str" cm="1">
        <f t="array" aca="1" ref="A35" ca="1">"aN_WS_3_" &amp; INDIRECT("F" &amp; ROW(C35)-8) &amp; "_p"</f>
        <v>aN_WS_3_1_2_p</v>
      </c>
      <c r="B35">
        <v>2</v>
      </c>
      <c r="C35" t="s">
        <v>6</v>
      </c>
    </row>
    <row r="36" spans="1:8" x14ac:dyDescent="0.25">
      <c r="A36" s="5" t="s">
        <v>7</v>
      </c>
      <c r="F36" s="27"/>
      <c r="G36" s="27"/>
      <c r="H36" s="27"/>
    </row>
    <row r="37" spans="1:8" x14ac:dyDescent="0.25">
      <c r="A37" t="str" cm="1">
        <f t="array" aca="1" ref="A37" ca="1">"aN_PREC_1_" &amp; INDIRECT("F" &amp; ROW(C37) - 10) &amp; "_p"</f>
        <v>aN_PREC_1_1_2_p</v>
      </c>
      <c r="B37">
        <v>0</v>
      </c>
      <c r="C37" t="s">
        <v>4</v>
      </c>
    </row>
    <row r="38" spans="1:8" x14ac:dyDescent="0.25">
      <c r="A38" t="str" cm="1">
        <f t="array" aca="1" ref="A38" ca="1">"aN_PREC_2_" &amp; INDIRECT("F" &amp; ROW(C38) - 11) &amp; "_p"</f>
        <v>aN_PREC_2_1_2_p</v>
      </c>
      <c r="B38">
        <v>0</v>
      </c>
      <c r="C38" t="s">
        <v>5</v>
      </c>
    </row>
    <row r="39" spans="1:8" x14ac:dyDescent="0.25">
      <c r="A39" t="str" cm="1">
        <f t="array" aca="1" ref="A39" ca="1">"aN_PREC_3_" &amp; INDIRECT("F" &amp; ROW(C39) - 12) &amp; "_p"</f>
        <v>aN_PREC_3_1_2_p</v>
      </c>
      <c r="B39">
        <v>2</v>
      </c>
      <c r="C39" t="s">
        <v>6</v>
      </c>
    </row>
    <row r="40" spans="1:8" x14ac:dyDescent="0.25">
      <c r="A40" s="5" t="s">
        <v>9</v>
      </c>
      <c r="F40" s="27"/>
      <c r="G40" s="27"/>
      <c r="H40" s="27"/>
    </row>
    <row r="41" spans="1:8" x14ac:dyDescent="0.25">
      <c r="A41" t="str" cm="1">
        <f t="array" aca="1" ref="A41" ca="1">"aN_SL_1_" &amp; INDIRECT("F" &amp; ROW(C41) - 14) &amp; "_p"</f>
        <v>aN_SL_1_1_2_p</v>
      </c>
      <c r="B41">
        <v>0</v>
      </c>
      <c r="C41" t="s">
        <v>4</v>
      </c>
    </row>
    <row r="42" spans="1:8" x14ac:dyDescent="0.25">
      <c r="A42" t="str" cm="1">
        <f t="array" aca="1" ref="A42" ca="1">"aN_SL_2_" &amp; INDIRECT("F" &amp; ROW(C42) - 15) &amp; "_p"</f>
        <v>aN_SL_2_1_2_p</v>
      </c>
      <c r="B42">
        <v>0</v>
      </c>
      <c r="C42" t="s">
        <v>5</v>
      </c>
    </row>
    <row r="43" spans="1:8" x14ac:dyDescent="0.25">
      <c r="A43" t="str" cm="1">
        <f t="array" aca="1" ref="A43" ca="1">"aN_SL_3_" &amp; INDIRECT("F" &amp; ROW(C43) - 16) &amp; "_p"</f>
        <v>aN_SL_3_1_2_p</v>
      </c>
      <c r="B43">
        <v>2</v>
      </c>
      <c r="C43" t="s">
        <v>6</v>
      </c>
    </row>
    <row r="44" spans="1:8" x14ac:dyDescent="0.25">
      <c r="A44" s="5" t="s">
        <v>95</v>
      </c>
    </row>
    <row r="45" spans="1:8" x14ac:dyDescent="0.25">
      <c r="A45" t="str" cm="1">
        <f t="array" aca="1" ref="A45" ca="1">"aN_DRO_1_" &amp; INDIRECT("F" &amp; ROW(C45) - 18) &amp; "_p"</f>
        <v>aN_DRO_1_1_2_p</v>
      </c>
      <c r="B45">
        <v>0.01</v>
      </c>
      <c r="C45" t="s">
        <v>4</v>
      </c>
    </row>
    <row r="46" spans="1:8" x14ac:dyDescent="0.25">
      <c r="A46" t="str" cm="1">
        <f t="array" aca="1" ref="A46" ca="1">"aN_DRO_2_" &amp; INDIRECT("F" &amp; ROW(C46) - 19) &amp; "_p"</f>
        <v>aN_DRO_2_1_2_p</v>
      </c>
      <c r="B46">
        <v>0</v>
      </c>
      <c r="C46" t="s">
        <v>5</v>
      </c>
    </row>
    <row r="47" spans="1:8" x14ac:dyDescent="0.25">
      <c r="A47" t="str" cm="1">
        <f t="array" aca="1" ref="A47" ca="1">"aN_DRO_3_" &amp; INDIRECT("F" &amp; ROW(C47) - 20) &amp; "_p"</f>
        <v>aN_DRO_3_1_2_p</v>
      </c>
      <c r="B47">
        <v>2</v>
      </c>
      <c r="C47" t="s">
        <v>6</v>
      </c>
    </row>
    <row r="48" spans="1:8" x14ac:dyDescent="0.25">
      <c r="A48" s="5" t="s">
        <v>96</v>
      </c>
    </row>
    <row r="49" spans="1:8" x14ac:dyDescent="0.25">
      <c r="A49" t="str" cm="1">
        <f t="array" aca="1" ref="A49" ca="1">"aN_CYC_1_" &amp; INDIRECT("F" &amp; ROW(C49) - 22) &amp; "_p"</f>
        <v>aN_CYC_1_1_2_p</v>
      </c>
      <c r="B49">
        <v>0</v>
      </c>
      <c r="C49" t="s">
        <v>4</v>
      </c>
    </row>
    <row r="50" spans="1:8" x14ac:dyDescent="0.25">
      <c r="A50" t="str" cm="1">
        <f t="array" aca="1" ref="A50" ca="1">"aN_CYC_2_" &amp; INDIRECT("F" &amp; ROW(C50) - 23) &amp; "_p"</f>
        <v>aN_CYC_2_1_2_p</v>
      </c>
      <c r="B50">
        <v>0</v>
      </c>
      <c r="C50" t="s">
        <v>5</v>
      </c>
    </row>
    <row r="51" spans="1:8" x14ac:dyDescent="0.25">
      <c r="A51" t="str" cm="1">
        <f t="array" aca="1" ref="A51" ca="1">"aN_CYC_3_" &amp; INDIRECT("F" &amp; ROW(C51) - 24) &amp; "_p"</f>
        <v>aN_CYC_3_1_2_p</v>
      </c>
      <c r="B51">
        <v>2</v>
      </c>
      <c r="C51" t="s">
        <v>6</v>
      </c>
    </row>
    <row r="52" spans="1:8" x14ac:dyDescent="0.25">
      <c r="A52" s="26" t="str">
        <f>"sector " &amp; D52 &amp; " and region " &amp;E52</f>
        <v>sector 1 and region 3</v>
      </c>
      <c r="B52" s="26"/>
      <c r="C52" s="26"/>
      <c r="D52" s="24">
        <v>1</v>
      </c>
      <c r="E52" s="24">
        <v>3</v>
      </c>
      <c r="F52" s="24" t="str">
        <f>D52 &amp; "_" &amp; E52</f>
        <v>1_3</v>
      </c>
    </row>
    <row r="53" spans="1:8" x14ac:dyDescent="0.25">
      <c r="A53" s="5" t="s">
        <v>3</v>
      </c>
    </row>
    <row r="54" spans="1:8" x14ac:dyDescent="0.25">
      <c r="A54" t="str" cm="1">
        <f t="array" aca="1" ref="A54" ca="1">"aN_T_1_" &amp; INDIRECT("F" &amp; ROW(C54)-2) &amp; "_p"</f>
        <v>aN_T_1_1_3_p</v>
      </c>
      <c r="B54">
        <v>0</v>
      </c>
      <c r="C54" t="s">
        <v>4</v>
      </c>
    </row>
    <row r="55" spans="1:8" x14ac:dyDescent="0.25">
      <c r="A55" t="str" cm="1">
        <f t="array" aca="1" ref="A55" ca="1">"aN_T_2_" &amp; INDIRECT("F" &amp; ROW(C55)-3) &amp; "_p"</f>
        <v>aN_T_2_1_3_p</v>
      </c>
      <c r="B55">
        <v>0</v>
      </c>
      <c r="C55" t="s">
        <v>5</v>
      </c>
    </row>
    <row r="56" spans="1:8" x14ac:dyDescent="0.25">
      <c r="A56" t="str" cm="1">
        <f t="array" aca="1" ref="A56" ca="1">"aN_T_3_" &amp; INDIRECT("F" &amp; ROW(C56)-4) &amp; "_p"</f>
        <v>aN_T_3_1_3_p</v>
      </c>
      <c r="B56">
        <v>2</v>
      </c>
      <c r="C56" t="s">
        <v>6</v>
      </c>
    </row>
    <row r="57" spans="1:8" x14ac:dyDescent="0.25">
      <c r="A57" s="5" t="s">
        <v>8</v>
      </c>
    </row>
    <row r="58" spans="1:8" x14ac:dyDescent="0.25">
      <c r="A58" t="str" cm="1">
        <f t="array" aca="1" ref="A58" ca="1">"aN_WS_1_" &amp; INDIRECT("F" &amp; ROW(C58)-6) &amp; "_p"</f>
        <v>aN_WS_1_1_3_p</v>
      </c>
      <c r="B58">
        <v>0</v>
      </c>
      <c r="C58" t="s">
        <v>4</v>
      </c>
    </row>
    <row r="59" spans="1:8" x14ac:dyDescent="0.25">
      <c r="A59" t="str" cm="1">
        <f t="array" aca="1" ref="A59" ca="1">"aN_WS_2_" &amp; INDIRECT("F" &amp; ROW(C59)-7) &amp; "_p"</f>
        <v>aN_WS_2_1_3_p</v>
      </c>
      <c r="B59">
        <v>0</v>
      </c>
      <c r="C59" t="s">
        <v>5</v>
      </c>
    </row>
    <row r="60" spans="1:8" x14ac:dyDescent="0.25">
      <c r="A60" t="str" cm="1">
        <f t="array" aca="1" ref="A60" ca="1">"aN_WS_3_" &amp; INDIRECT("F" &amp; ROW(C60)-8) &amp; "_p"</f>
        <v>aN_WS_3_1_3_p</v>
      </c>
      <c r="B60">
        <v>2</v>
      </c>
      <c r="C60" t="s">
        <v>6</v>
      </c>
    </row>
    <row r="61" spans="1:8" x14ac:dyDescent="0.25">
      <c r="A61" s="5" t="s">
        <v>7</v>
      </c>
      <c r="F61" s="27"/>
      <c r="G61" s="27"/>
      <c r="H61" s="27"/>
    </row>
    <row r="62" spans="1:8" x14ac:dyDescent="0.25">
      <c r="A62" t="str" cm="1">
        <f t="array" aca="1" ref="A62" ca="1">"aN_PREC_1_" &amp; INDIRECT("F" &amp; ROW(C62) - 10) &amp; "_p"</f>
        <v>aN_PREC_1_1_3_p</v>
      </c>
      <c r="B62">
        <v>0</v>
      </c>
      <c r="C62" t="s">
        <v>4</v>
      </c>
    </row>
    <row r="63" spans="1:8" x14ac:dyDescent="0.25">
      <c r="A63" t="str" cm="1">
        <f t="array" aca="1" ref="A63" ca="1">"aN_PREC_2_" &amp; INDIRECT("F" &amp; ROW(C63) - 11) &amp; "_p"</f>
        <v>aN_PREC_2_1_3_p</v>
      </c>
      <c r="B63">
        <v>0</v>
      </c>
      <c r="C63" t="s">
        <v>5</v>
      </c>
    </row>
    <row r="64" spans="1:8" x14ac:dyDescent="0.25">
      <c r="A64" t="str" cm="1">
        <f t="array" aca="1" ref="A64" ca="1">"aN_PREC_3_" &amp; INDIRECT("F" &amp; ROW(C64) - 12) &amp; "_p"</f>
        <v>aN_PREC_3_1_3_p</v>
      </c>
      <c r="B64">
        <v>2</v>
      </c>
      <c r="C64" t="s">
        <v>6</v>
      </c>
    </row>
    <row r="65" spans="1:8" x14ac:dyDescent="0.25">
      <c r="A65" s="5" t="s">
        <v>9</v>
      </c>
      <c r="F65" s="27"/>
      <c r="G65" s="27"/>
      <c r="H65" s="27"/>
    </row>
    <row r="66" spans="1:8" x14ac:dyDescent="0.25">
      <c r="A66" t="str" cm="1">
        <f t="array" aca="1" ref="A66" ca="1">"aN_SL_1_" &amp; INDIRECT("F" &amp; ROW(C66) - 14) &amp; "_p"</f>
        <v>aN_SL_1_1_3_p</v>
      </c>
      <c r="B66">
        <v>0.125</v>
      </c>
      <c r="C66" t="s">
        <v>4</v>
      </c>
    </row>
    <row r="67" spans="1:8" x14ac:dyDescent="0.25">
      <c r="A67" t="str" cm="1">
        <f t="array" aca="1" ref="A67" ca="1">"aN_SL_2_" &amp; INDIRECT("F" &amp; ROW(C67) - 15) &amp; "_p"</f>
        <v>aN_SL_2_1_3_p</v>
      </c>
      <c r="B67">
        <v>0</v>
      </c>
      <c r="C67" t="s">
        <v>5</v>
      </c>
    </row>
    <row r="68" spans="1:8" x14ac:dyDescent="0.25">
      <c r="A68" t="str" cm="1">
        <f t="array" aca="1" ref="A68" ca="1">"aN_SL_3_" &amp; INDIRECT("F" &amp; ROW(C68) - 16) &amp; "_p"</f>
        <v>aN_SL_3_1_3_p</v>
      </c>
      <c r="B68">
        <v>2</v>
      </c>
      <c r="C68" t="s">
        <v>6</v>
      </c>
    </row>
    <row r="69" spans="1:8" x14ac:dyDescent="0.25">
      <c r="A69" s="5" t="s">
        <v>95</v>
      </c>
    </row>
    <row r="70" spans="1:8" x14ac:dyDescent="0.25">
      <c r="A70" t="str" cm="1">
        <f t="array" aca="1" ref="A70" ca="1">"aN_DRO_1_" &amp; INDIRECT("F" &amp; ROW(C70) - 18) &amp; "_p"</f>
        <v>aN_DRO_1_1_3_p</v>
      </c>
      <c r="B70">
        <v>0</v>
      </c>
      <c r="C70" t="s">
        <v>4</v>
      </c>
    </row>
    <row r="71" spans="1:8" x14ac:dyDescent="0.25">
      <c r="A71" t="str" cm="1">
        <f t="array" aca="1" ref="A71" ca="1">"aN_DRO_2_" &amp; INDIRECT("F" &amp; ROW(C71) - 19) &amp; "_p"</f>
        <v>aN_DRO_2_1_3_p</v>
      </c>
      <c r="B71">
        <v>0</v>
      </c>
      <c r="C71" t="s">
        <v>5</v>
      </c>
    </row>
    <row r="72" spans="1:8" x14ac:dyDescent="0.25">
      <c r="A72" t="str" cm="1">
        <f t="array" aca="1" ref="A72" ca="1">"aN_DRO_3_" &amp; INDIRECT("F" &amp; ROW(C72) - 20) &amp; "_p"</f>
        <v>aN_DRO_3_1_3_p</v>
      </c>
      <c r="B72">
        <v>2</v>
      </c>
      <c r="C72" t="s">
        <v>6</v>
      </c>
    </row>
    <row r="73" spans="1:8" x14ac:dyDescent="0.25">
      <c r="A73" s="5" t="s">
        <v>96</v>
      </c>
    </row>
    <row r="74" spans="1:8" x14ac:dyDescent="0.25">
      <c r="A74" t="str" cm="1">
        <f t="array" aca="1" ref="A74" ca="1">"aN_CYC_1_" &amp; INDIRECT("F" &amp; ROW(C74) - 22) &amp; "_p"</f>
        <v>aN_CYC_1_1_3_p</v>
      </c>
      <c r="B74">
        <v>0</v>
      </c>
      <c r="C74" t="s">
        <v>4</v>
      </c>
    </row>
    <row r="75" spans="1:8" x14ac:dyDescent="0.25">
      <c r="A75" t="str" cm="1">
        <f t="array" aca="1" ref="A75" ca="1">"aN_CYC_2_" &amp; INDIRECT("F" &amp; ROW(C75) - 23) &amp; "_p"</f>
        <v>aN_CYC_2_1_3_p</v>
      </c>
      <c r="B75">
        <v>0</v>
      </c>
      <c r="C75" t="s">
        <v>5</v>
      </c>
    </row>
    <row r="76" spans="1:8" x14ac:dyDescent="0.25">
      <c r="A76" t="str" cm="1">
        <f t="array" aca="1" ref="A76" ca="1">"aN_CYC_3_" &amp; INDIRECT("F" &amp; ROW(C76) - 24) &amp; "_p"</f>
        <v>aN_CYC_3_1_3_p</v>
      </c>
      <c r="B76">
        <v>2</v>
      </c>
      <c r="C76" t="s">
        <v>6</v>
      </c>
    </row>
    <row r="77" spans="1:8" x14ac:dyDescent="0.25">
      <c r="A77" s="26" t="str">
        <f>"sector " &amp; D77 &amp; " and region " &amp;E77</f>
        <v>sector 1 and region 4</v>
      </c>
      <c r="B77" s="26"/>
      <c r="C77" s="26"/>
      <c r="D77" s="24">
        <v>1</v>
      </c>
      <c r="E77" s="24">
        <v>4</v>
      </c>
      <c r="F77" s="24" t="str">
        <f>D77 &amp; "_" &amp; E77</f>
        <v>1_4</v>
      </c>
    </row>
    <row r="78" spans="1:8" x14ac:dyDescent="0.25">
      <c r="A78" s="5" t="s">
        <v>3</v>
      </c>
    </row>
    <row r="79" spans="1:8" x14ac:dyDescent="0.25">
      <c r="A79" t="str" cm="1">
        <f t="array" aca="1" ref="A79" ca="1">"aN_T_1_" &amp; INDIRECT("F" &amp; ROW(C79)-2) &amp; "_p"</f>
        <v>aN_T_1_1_4_p</v>
      </c>
      <c r="B79">
        <v>0</v>
      </c>
      <c r="C79" t="s">
        <v>4</v>
      </c>
    </row>
    <row r="80" spans="1:8" x14ac:dyDescent="0.25">
      <c r="A80" t="str" cm="1">
        <f t="array" aca="1" ref="A80" ca="1">"aN_T_2_" &amp; INDIRECT("F" &amp; ROW(C80)-3) &amp; "_p"</f>
        <v>aN_T_2_1_4_p</v>
      </c>
      <c r="B80">
        <v>0</v>
      </c>
      <c r="C80" t="s">
        <v>5</v>
      </c>
    </row>
    <row r="81" spans="1:8" x14ac:dyDescent="0.25">
      <c r="A81" t="str" cm="1">
        <f t="array" aca="1" ref="A81" ca="1">"aN_T_3_" &amp; INDIRECT("F" &amp; ROW(C81)-4) &amp; "_p"</f>
        <v>aN_T_3_1_4_p</v>
      </c>
      <c r="B81">
        <v>1</v>
      </c>
      <c r="C81" t="s">
        <v>6</v>
      </c>
    </row>
    <row r="82" spans="1:8" x14ac:dyDescent="0.25">
      <c r="A82" s="5" t="s">
        <v>8</v>
      </c>
    </row>
    <row r="83" spans="1:8" x14ac:dyDescent="0.25">
      <c r="A83" t="str" cm="1">
        <f t="array" aca="1" ref="A83" ca="1">"aN_WS_1_" &amp; INDIRECT("F" &amp; ROW(C83)-6) &amp; "_p"</f>
        <v>aN_WS_1_1_4_p</v>
      </c>
      <c r="B83">
        <v>0</v>
      </c>
      <c r="C83" t="s">
        <v>4</v>
      </c>
    </row>
    <row r="84" spans="1:8" x14ac:dyDescent="0.25">
      <c r="A84" t="str" cm="1">
        <f t="array" aca="1" ref="A84" ca="1">"aN_WS_2_" &amp; INDIRECT("F" &amp; ROW(C84)-7) &amp; "_p"</f>
        <v>aN_WS_2_1_4_p</v>
      </c>
      <c r="B84">
        <v>0</v>
      </c>
      <c r="C84" t="s">
        <v>5</v>
      </c>
    </row>
    <row r="85" spans="1:8" x14ac:dyDescent="0.25">
      <c r="A85" t="str" cm="1">
        <f t="array" aca="1" ref="A85" ca="1">"aN_WS_3_" &amp; INDIRECT("F" &amp; ROW(C85)-8) &amp; "_p"</f>
        <v>aN_WS_3_1_4_p</v>
      </c>
      <c r="B85">
        <v>2</v>
      </c>
      <c r="C85" t="s">
        <v>6</v>
      </c>
    </row>
    <row r="86" spans="1:8" x14ac:dyDescent="0.25">
      <c r="A86" s="5" t="s">
        <v>7</v>
      </c>
    </row>
    <row r="87" spans="1:8" x14ac:dyDescent="0.25">
      <c r="A87" t="str" cm="1">
        <f t="array" aca="1" ref="A87" ca="1">"aN_PREC_1_" &amp; INDIRECT("F" &amp; ROW(C87) - 10) &amp; "_p"</f>
        <v>aN_PREC_1_1_4_p</v>
      </c>
      <c r="B87">
        <v>0</v>
      </c>
      <c r="C87" t="s">
        <v>4</v>
      </c>
    </row>
    <row r="88" spans="1:8" x14ac:dyDescent="0.25">
      <c r="A88" t="str" cm="1">
        <f t="array" aca="1" ref="A88" ca="1">"aN_PREC_2_" &amp; INDIRECT("F" &amp; ROW(C88) - 11) &amp; "_p"</f>
        <v>aN_PREC_2_1_4_p</v>
      </c>
      <c r="B88">
        <v>0</v>
      </c>
      <c r="C88" t="s">
        <v>5</v>
      </c>
    </row>
    <row r="89" spans="1:8" x14ac:dyDescent="0.25">
      <c r="A89" t="str" cm="1">
        <f t="array" aca="1" ref="A89" ca="1">"aN_PREC_3_" &amp; INDIRECT("F" &amp; ROW(C89) - 12) &amp; "_p"</f>
        <v>aN_PREC_3_1_4_p</v>
      </c>
      <c r="B89">
        <v>2</v>
      </c>
      <c r="C89" t="s">
        <v>6</v>
      </c>
    </row>
    <row r="90" spans="1:8" x14ac:dyDescent="0.25">
      <c r="A90" s="5" t="s">
        <v>9</v>
      </c>
      <c r="F90" s="27"/>
      <c r="G90" s="27"/>
      <c r="H90" s="27"/>
    </row>
    <row r="91" spans="1:8" x14ac:dyDescent="0.25">
      <c r="A91" t="str" cm="1">
        <f t="array" aca="1" ref="A91" ca="1">"aN_SL_1_" &amp; INDIRECT("F" &amp; ROW(C91) - 14) &amp; "_p"</f>
        <v>aN_SL_1_1_4_p</v>
      </c>
      <c r="B91">
        <v>0</v>
      </c>
      <c r="C91" t="s">
        <v>4</v>
      </c>
    </row>
    <row r="92" spans="1:8" x14ac:dyDescent="0.25">
      <c r="A92" t="str" cm="1">
        <f t="array" aca="1" ref="A92" ca="1">"aN_SL_2_" &amp; INDIRECT("F" &amp; ROW(C92) - 15) &amp; "_p"</f>
        <v>aN_SL_2_1_4_p</v>
      </c>
      <c r="B92">
        <v>0</v>
      </c>
      <c r="C92" t="s">
        <v>5</v>
      </c>
    </row>
    <row r="93" spans="1:8" x14ac:dyDescent="0.25">
      <c r="A93" t="str" cm="1">
        <f t="array" aca="1" ref="A93" ca="1">"aN_SL_3_" &amp; INDIRECT("F" &amp; ROW(C93) - 16) &amp; "_p"</f>
        <v>aN_SL_3_1_4_p</v>
      </c>
      <c r="B93">
        <v>2</v>
      </c>
      <c r="C93" t="s">
        <v>6</v>
      </c>
    </row>
    <row r="94" spans="1:8" x14ac:dyDescent="0.25">
      <c r="A94" s="5" t="s">
        <v>95</v>
      </c>
    </row>
    <row r="95" spans="1:8" x14ac:dyDescent="0.25">
      <c r="A95" t="str" cm="1">
        <f t="array" aca="1" ref="A95" ca="1">"aN_DRO_1_" &amp; INDIRECT("F" &amp; ROW(C95) - 18) &amp; "_p"</f>
        <v>aN_DRO_1_1_4_p</v>
      </c>
      <c r="B95">
        <v>0</v>
      </c>
      <c r="C95" t="s">
        <v>4</v>
      </c>
    </row>
    <row r="96" spans="1:8" x14ac:dyDescent="0.25">
      <c r="A96" t="str" cm="1">
        <f t="array" aca="1" ref="A96" ca="1">"aN_DRO_2_" &amp; INDIRECT("F" &amp; ROW(C96) - 19) &amp; "_p"</f>
        <v>aN_DRO_2_1_4_p</v>
      </c>
      <c r="B96">
        <v>0</v>
      </c>
      <c r="C96" t="s">
        <v>5</v>
      </c>
    </row>
    <row r="97" spans="1:6" x14ac:dyDescent="0.25">
      <c r="A97" t="str" cm="1">
        <f t="array" aca="1" ref="A97" ca="1">"aN_DRO_3_" &amp; INDIRECT("F" &amp; ROW(C97) - 20) &amp; "_p"</f>
        <v>aN_DRO_3_1_4_p</v>
      </c>
      <c r="B97">
        <v>2</v>
      </c>
      <c r="C97" t="s">
        <v>6</v>
      </c>
    </row>
    <row r="98" spans="1:6" x14ac:dyDescent="0.25">
      <c r="A98" s="5" t="s">
        <v>96</v>
      </c>
    </row>
    <row r="99" spans="1:6" x14ac:dyDescent="0.25">
      <c r="A99" t="str" cm="1">
        <f t="array" aca="1" ref="A99" ca="1">"aN_CYC_1_" &amp; INDIRECT("F" &amp; ROW(C99) - 22) &amp; "_p"</f>
        <v>aN_CYC_1_1_4_p</v>
      </c>
      <c r="B99">
        <v>0</v>
      </c>
      <c r="C99" t="s">
        <v>4</v>
      </c>
    </row>
    <row r="100" spans="1:6" x14ac:dyDescent="0.25">
      <c r="A100" t="str" cm="1">
        <f t="array" aca="1" ref="A100" ca="1">"aN_CYC_2_" &amp; INDIRECT("F" &amp; ROW(C100) - 23) &amp; "_p"</f>
        <v>aN_CYC_2_1_4_p</v>
      </c>
      <c r="B100">
        <v>0</v>
      </c>
      <c r="C100" t="s">
        <v>5</v>
      </c>
    </row>
    <row r="101" spans="1:6" x14ac:dyDescent="0.25">
      <c r="A101" t="str" cm="1">
        <f t="array" aca="1" ref="A101" ca="1">"aN_CYC_3_" &amp; INDIRECT("F" &amp; ROW(C101) - 24) &amp; "_p"</f>
        <v>aN_CYC_3_1_4_p</v>
      </c>
      <c r="B101">
        <v>2</v>
      </c>
      <c r="C101" t="s">
        <v>6</v>
      </c>
    </row>
    <row r="102" spans="1:6" x14ac:dyDescent="0.25">
      <c r="A102" s="26" t="str">
        <f>"sector " &amp; D102 &amp; " and region " &amp;E102</f>
        <v>sector 1 and region 5</v>
      </c>
      <c r="B102" s="26"/>
      <c r="C102" s="26"/>
      <c r="D102" s="24">
        <v>1</v>
      </c>
      <c r="E102" s="24">
        <v>5</v>
      </c>
      <c r="F102" s="24" t="str">
        <f>D102 &amp; "_" &amp; E102</f>
        <v>1_5</v>
      </c>
    </row>
    <row r="103" spans="1:6" x14ac:dyDescent="0.25">
      <c r="A103" s="5" t="s">
        <v>3</v>
      </c>
    </row>
    <row r="104" spans="1:6" x14ac:dyDescent="0.25">
      <c r="A104" t="str" cm="1">
        <f t="array" aca="1" ref="A104" ca="1">"aN_T_1_" &amp; INDIRECT("F" &amp; ROW(C104)-2) &amp; "_p"</f>
        <v>aN_T_1_1_5_p</v>
      </c>
      <c r="B104">
        <v>0</v>
      </c>
      <c r="C104" t="s">
        <v>4</v>
      </c>
    </row>
    <row r="105" spans="1:6" x14ac:dyDescent="0.25">
      <c r="A105" t="str" cm="1">
        <f t="array" aca="1" ref="A105" ca="1">"aN_T_2_" &amp; INDIRECT("F" &amp; ROW(C105)-3) &amp; "_p"</f>
        <v>aN_T_2_1_5_p</v>
      </c>
      <c r="B105">
        <v>0</v>
      </c>
      <c r="C105" t="s">
        <v>5</v>
      </c>
    </row>
    <row r="106" spans="1:6" x14ac:dyDescent="0.25">
      <c r="A106" t="str" cm="1">
        <f t="array" aca="1" ref="A106" ca="1">"aN_T_3_" &amp; INDIRECT("F" &amp; ROW(C106)-4) &amp; "_p"</f>
        <v>aN_T_3_1_5_p</v>
      </c>
      <c r="B106">
        <v>1</v>
      </c>
      <c r="C106" t="s">
        <v>6</v>
      </c>
    </row>
    <row r="107" spans="1:6" x14ac:dyDescent="0.25">
      <c r="A107" s="5" t="s">
        <v>8</v>
      </c>
    </row>
    <row r="108" spans="1:6" x14ac:dyDescent="0.25">
      <c r="A108" t="str" cm="1">
        <f t="array" aca="1" ref="A108" ca="1">"aN_WS_1_" &amp; INDIRECT("F" &amp; ROW(C108)-6) &amp; "_p"</f>
        <v>aN_WS_1_1_5_p</v>
      </c>
      <c r="B108">
        <v>0</v>
      </c>
      <c r="C108" t="s">
        <v>4</v>
      </c>
    </row>
    <row r="109" spans="1:6" x14ac:dyDescent="0.25">
      <c r="A109" t="str" cm="1">
        <f t="array" aca="1" ref="A109" ca="1">"aN_WS_2_" &amp; INDIRECT("F" &amp; ROW(C109)-7) &amp; "_p"</f>
        <v>aN_WS_2_1_5_p</v>
      </c>
      <c r="B109">
        <v>0</v>
      </c>
      <c r="C109" t="s">
        <v>5</v>
      </c>
    </row>
    <row r="110" spans="1:6" x14ac:dyDescent="0.25">
      <c r="A110" t="str" cm="1">
        <f t="array" aca="1" ref="A110" ca="1">"aN_WS_3_" &amp; INDIRECT("F" &amp; ROW(C110)-8) &amp; "_p"</f>
        <v>aN_WS_3_1_5_p</v>
      </c>
      <c r="B110">
        <v>2</v>
      </c>
      <c r="C110" t="s">
        <v>6</v>
      </c>
    </row>
    <row r="111" spans="1:6" x14ac:dyDescent="0.25">
      <c r="A111" s="5" t="s">
        <v>7</v>
      </c>
    </row>
    <row r="112" spans="1:6" x14ac:dyDescent="0.25">
      <c r="A112" t="str" cm="1">
        <f t="array" aca="1" ref="A112" ca="1">"aN_PREC_1_" &amp; INDIRECT("F" &amp; ROW(C112) - 10) &amp; "_p"</f>
        <v>aN_PREC_1_1_5_p</v>
      </c>
      <c r="B112">
        <v>0</v>
      </c>
      <c r="C112" t="s">
        <v>4</v>
      </c>
    </row>
    <row r="113" spans="1:8" x14ac:dyDescent="0.25">
      <c r="A113" t="str" cm="1">
        <f t="array" aca="1" ref="A113" ca="1">"aN_PREC_2_" &amp; INDIRECT("F" &amp; ROW(C113) - 11) &amp; "_p"</f>
        <v>aN_PREC_2_1_5_p</v>
      </c>
      <c r="B113">
        <v>0</v>
      </c>
      <c r="C113" t="s">
        <v>5</v>
      </c>
    </row>
    <row r="114" spans="1:8" x14ac:dyDescent="0.25">
      <c r="A114" t="str" cm="1">
        <f t="array" aca="1" ref="A114" ca="1">"aN_PREC_3_" &amp; INDIRECT("F" &amp; ROW(C114) - 12) &amp; "_p"</f>
        <v>aN_PREC_3_1_5_p</v>
      </c>
      <c r="B114">
        <v>2</v>
      </c>
      <c r="C114" t="s">
        <v>6</v>
      </c>
    </row>
    <row r="115" spans="1:8" x14ac:dyDescent="0.25">
      <c r="A115" s="5" t="s">
        <v>9</v>
      </c>
      <c r="F115" s="27"/>
      <c r="G115" s="27"/>
      <c r="H115" s="27"/>
    </row>
    <row r="116" spans="1:8" x14ac:dyDescent="0.25">
      <c r="A116" t="str" cm="1">
        <f t="array" aca="1" ref="A116" ca="1">"aN_SL_1_" &amp; INDIRECT("F" &amp; ROW(C116) - 14) &amp; "_p"</f>
        <v>aN_SL_1_1_5_p</v>
      </c>
      <c r="B116">
        <v>0</v>
      </c>
      <c r="C116" t="s">
        <v>4</v>
      </c>
    </row>
    <row r="117" spans="1:8" x14ac:dyDescent="0.25">
      <c r="A117" t="str" cm="1">
        <f t="array" aca="1" ref="A117" ca="1">"aN_SL_2_" &amp; INDIRECT("F" &amp; ROW(C117) - 15) &amp; "_p"</f>
        <v>aN_SL_2_1_5_p</v>
      </c>
      <c r="B117">
        <v>0</v>
      </c>
      <c r="C117" t="s">
        <v>5</v>
      </c>
    </row>
    <row r="118" spans="1:8" x14ac:dyDescent="0.25">
      <c r="A118" t="str" cm="1">
        <f t="array" aca="1" ref="A118" ca="1">"aN_SL_3_" &amp; INDIRECT("F" &amp; ROW(C118) - 16) &amp; "_p"</f>
        <v>aN_SL_3_1_5_p</v>
      </c>
      <c r="B118">
        <v>2</v>
      </c>
      <c r="C118" t="s">
        <v>6</v>
      </c>
    </row>
    <row r="119" spans="1:8" x14ac:dyDescent="0.25">
      <c r="A119" s="5" t="s">
        <v>95</v>
      </c>
    </row>
    <row r="120" spans="1:8" x14ac:dyDescent="0.25">
      <c r="A120" t="str" cm="1">
        <f t="array" aca="1" ref="A120" ca="1">"aN_DRO_1_" &amp; INDIRECT("F" &amp; ROW(C120) - 18) &amp; "_p"</f>
        <v>aN_DRO_1_1_5_p</v>
      </c>
      <c r="B120">
        <v>0.01</v>
      </c>
      <c r="C120" t="s">
        <v>4</v>
      </c>
    </row>
    <row r="121" spans="1:8" x14ac:dyDescent="0.25">
      <c r="A121" t="str" cm="1">
        <f t="array" aca="1" ref="A121" ca="1">"aN_DRO_2_" &amp; INDIRECT("F" &amp; ROW(C121) - 19) &amp; "_p"</f>
        <v>aN_DRO_2_1_5_p</v>
      </c>
      <c r="B121">
        <v>0</v>
      </c>
      <c r="C121" t="s">
        <v>5</v>
      </c>
    </row>
    <row r="122" spans="1:8" x14ac:dyDescent="0.25">
      <c r="A122" t="str" cm="1">
        <f t="array" aca="1" ref="A122" ca="1">"aN_DRO_3_" &amp; INDIRECT("F" &amp; ROW(C122) - 20) &amp; "_p"</f>
        <v>aN_DRO_3_1_5_p</v>
      </c>
      <c r="B122">
        <v>2</v>
      </c>
      <c r="C122" t="s">
        <v>6</v>
      </c>
    </row>
    <row r="123" spans="1:8" x14ac:dyDescent="0.25">
      <c r="A123" s="5" t="s">
        <v>96</v>
      </c>
    </row>
    <row r="124" spans="1:8" x14ac:dyDescent="0.25">
      <c r="A124" t="str" cm="1">
        <f t="array" aca="1" ref="A124" ca="1">"aN_CYC_1_" &amp; INDIRECT("F" &amp; ROW(C124) - 22) &amp; "_p"</f>
        <v>aN_CYC_1_1_5_p</v>
      </c>
      <c r="B124">
        <v>0</v>
      </c>
      <c r="C124" t="s">
        <v>4</v>
      </c>
    </row>
    <row r="125" spans="1:8" x14ac:dyDescent="0.25">
      <c r="A125" t="str" cm="1">
        <f t="array" aca="1" ref="A125" ca="1">"aN_CYC_2_" &amp; INDIRECT("F" &amp; ROW(C125) - 23) &amp; "_p"</f>
        <v>aN_CYC_2_1_5_p</v>
      </c>
      <c r="B125">
        <v>0</v>
      </c>
      <c r="C125" t="s">
        <v>5</v>
      </c>
    </row>
    <row r="126" spans="1:8" x14ac:dyDescent="0.25">
      <c r="A126" t="str" cm="1">
        <f t="array" aca="1" ref="A126" ca="1">"aN_CYC_3_" &amp; INDIRECT("F" &amp; ROW(C126) - 24) &amp; "_p"</f>
        <v>aN_CYC_3_1_5_p</v>
      </c>
      <c r="B126">
        <v>2</v>
      </c>
      <c r="C126" t="s">
        <v>6</v>
      </c>
    </row>
    <row r="127" spans="1:8" x14ac:dyDescent="0.25">
      <c r="A127" s="26" t="str">
        <f>"sector " &amp; D127 &amp; " and region " &amp;E127</f>
        <v>sector 1 and region 6</v>
      </c>
      <c r="B127" s="26"/>
      <c r="C127" s="26"/>
      <c r="D127" s="24">
        <v>1</v>
      </c>
      <c r="E127" s="24">
        <v>6</v>
      </c>
      <c r="F127" s="24" t="str">
        <f>D127 &amp; "_" &amp; E127</f>
        <v>1_6</v>
      </c>
    </row>
    <row r="128" spans="1:8" x14ac:dyDescent="0.25">
      <c r="A128" s="5" t="s">
        <v>3</v>
      </c>
    </row>
    <row r="129" spans="1:8" x14ac:dyDescent="0.25">
      <c r="A129" t="str" cm="1">
        <f t="array" aca="1" ref="A129" ca="1">"aN_T_1_" &amp; INDIRECT("F" &amp; ROW(C129)-2) &amp; "_p"</f>
        <v>aN_T_1_1_6_p</v>
      </c>
      <c r="B129">
        <v>0</v>
      </c>
      <c r="C129" t="s">
        <v>4</v>
      </c>
    </row>
    <row r="130" spans="1:8" x14ac:dyDescent="0.25">
      <c r="A130" t="str" cm="1">
        <f t="array" aca="1" ref="A130" ca="1">"aN_T_2_" &amp; INDIRECT("F" &amp; ROW(C130)-3) &amp; "_p"</f>
        <v>aN_T_2_1_6_p</v>
      </c>
      <c r="B130">
        <v>0</v>
      </c>
      <c r="C130" t="s">
        <v>5</v>
      </c>
    </row>
    <row r="131" spans="1:8" x14ac:dyDescent="0.25">
      <c r="A131" t="str" cm="1">
        <f t="array" aca="1" ref="A131" ca="1">"aN_T_3_" &amp; INDIRECT("F" &amp; ROW(C131)-4) &amp; "_p"</f>
        <v>aN_T_3_1_6_p</v>
      </c>
      <c r="B131">
        <v>1</v>
      </c>
      <c r="C131" t="s">
        <v>6</v>
      </c>
    </row>
    <row r="132" spans="1:8" x14ac:dyDescent="0.25">
      <c r="A132" s="5" t="s">
        <v>8</v>
      </c>
    </row>
    <row r="133" spans="1:8" x14ac:dyDescent="0.25">
      <c r="A133" t="str" cm="1">
        <f t="array" aca="1" ref="A133" ca="1">"aN_WS_1_" &amp; INDIRECT("F" &amp; ROW(C133)-6) &amp; "_p"</f>
        <v>aN_WS_1_1_6_p</v>
      </c>
      <c r="B133">
        <v>0</v>
      </c>
      <c r="C133" t="s">
        <v>4</v>
      </c>
    </row>
    <row r="134" spans="1:8" x14ac:dyDescent="0.25">
      <c r="A134" t="str" cm="1">
        <f t="array" aca="1" ref="A134" ca="1">"aN_WS_2_" &amp; INDIRECT("F" &amp; ROW(C134)-7) &amp; "_p"</f>
        <v>aN_WS_2_1_6_p</v>
      </c>
      <c r="B134">
        <v>0</v>
      </c>
      <c r="C134" t="s">
        <v>5</v>
      </c>
    </row>
    <row r="135" spans="1:8" x14ac:dyDescent="0.25">
      <c r="A135" t="str" cm="1">
        <f t="array" aca="1" ref="A135" ca="1">"aN_WS_3_" &amp; INDIRECT("F" &amp; ROW(C135)-8) &amp; "_p"</f>
        <v>aN_WS_3_1_6_p</v>
      </c>
      <c r="B135">
        <v>2</v>
      </c>
      <c r="C135" t="s">
        <v>6</v>
      </c>
    </row>
    <row r="136" spans="1:8" x14ac:dyDescent="0.25">
      <c r="A136" s="5" t="s">
        <v>7</v>
      </c>
    </row>
    <row r="137" spans="1:8" x14ac:dyDescent="0.25">
      <c r="A137" t="str" cm="1">
        <f t="array" aca="1" ref="A137" ca="1">"aN_PREC_1_" &amp; INDIRECT("F" &amp; ROW(C137) - 10) &amp; "_p"</f>
        <v>aN_PREC_1_1_6_p</v>
      </c>
      <c r="B137">
        <v>0</v>
      </c>
      <c r="C137" t="s">
        <v>4</v>
      </c>
    </row>
    <row r="138" spans="1:8" x14ac:dyDescent="0.25">
      <c r="A138" t="str" cm="1">
        <f t="array" aca="1" ref="A138" ca="1">"aN_PREC_2_" &amp; INDIRECT("F" &amp; ROW(C138) - 11) &amp; "_p"</f>
        <v>aN_PREC_2_1_6_p</v>
      </c>
      <c r="B138">
        <v>0</v>
      </c>
      <c r="C138" t="s">
        <v>5</v>
      </c>
    </row>
    <row r="139" spans="1:8" x14ac:dyDescent="0.25">
      <c r="A139" t="str" cm="1">
        <f t="array" aca="1" ref="A139" ca="1">"aN_PREC_3_" &amp; INDIRECT("F" &amp; ROW(C139) - 12) &amp; "_p"</f>
        <v>aN_PREC_3_1_6_p</v>
      </c>
      <c r="B139">
        <v>2</v>
      </c>
      <c r="C139" t="s">
        <v>6</v>
      </c>
    </row>
    <row r="140" spans="1:8" x14ac:dyDescent="0.25">
      <c r="A140" s="5" t="s">
        <v>9</v>
      </c>
      <c r="F140" s="27"/>
      <c r="G140" s="27"/>
      <c r="H140" s="27"/>
    </row>
    <row r="141" spans="1:8" x14ac:dyDescent="0.25">
      <c r="A141" t="str" cm="1">
        <f t="array" aca="1" ref="A141" ca="1">"aN_SL_1_" &amp; INDIRECT("F" &amp; ROW(C141) - 14) &amp; "_p"</f>
        <v>aN_SL_1_1_6_p</v>
      </c>
      <c r="B141">
        <v>0</v>
      </c>
      <c r="C141" t="s">
        <v>4</v>
      </c>
    </row>
    <row r="142" spans="1:8" x14ac:dyDescent="0.25">
      <c r="A142" t="str" cm="1">
        <f t="array" aca="1" ref="A142" ca="1">"aN_SL_2_" &amp; INDIRECT("F" &amp; ROW(C142) - 15) &amp; "_p"</f>
        <v>aN_SL_2_1_6_p</v>
      </c>
      <c r="B142">
        <v>0</v>
      </c>
      <c r="C142" t="s">
        <v>5</v>
      </c>
    </row>
    <row r="143" spans="1:8" x14ac:dyDescent="0.25">
      <c r="A143" t="str" cm="1">
        <f t="array" aca="1" ref="A143" ca="1">"aN_SL_3_" &amp; INDIRECT("F" &amp; ROW(C143) - 16) &amp; "_p"</f>
        <v>aN_SL_3_1_6_p</v>
      </c>
      <c r="B143">
        <v>2</v>
      </c>
      <c r="C143" t="s">
        <v>6</v>
      </c>
    </row>
    <row r="144" spans="1:8" x14ac:dyDescent="0.25">
      <c r="A144" s="5" t="s">
        <v>95</v>
      </c>
    </row>
    <row r="145" spans="1:6" x14ac:dyDescent="0.25">
      <c r="A145" t="str" cm="1">
        <f t="array" aca="1" ref="A145" ca="1">"aN_DRO_1_" &amp; INDIRECT("F" &amp; ROW(C145) - 18) &amp; "_p"</f>
        <v>aN_DRO_1_1_6_p</v>
      </c>
      <c r="B145">
        <v>0.01</v>
      </c>
      <c r="C145" t="s">
        <v>4</v>
      </c>
    </row>
    <row r="146" spans="1:6" x14ac:dyDescent="0.25">
      <c r="A146" t="str" cm="1">
        <f t="array" aca="1" ref="A146" ca="1">"aN_DRO_2_" &amp; INDIRECT("F" &amp; ROW(C146) - 19) &amp; "_p"</f>
        <v>aN_DRO_2_1_6_p</v>
      </c>
      <c r="B146">
        <v>0</v>
      </c>
      <c r="C146" t="s">
        <v>5</v>
      </c>
    </row>
    <row r="147" spans="1:6" x14ac:dyDescent="0.25">
      <c r="A147" t="str" cm="1">
        <f t="array" aca="1" ref="A147" ca="1">"aN_DRO_3_" &amp; INDIRECT("F" &amp; ROW(C147) - 20) &amp; "_p"</f>
        <v>aN_DRO_3_1_6_p</v>
      </c>
      <c r="B147">
        <v>2</v>
      </c>
      <c r="C147" t="s">
        <v>6</v>
      </c>
    </row>
    <row r="148" spans="1:6" x14ac:dyDescent="0.25">
      <c r="A148" s="5" t="s">
        <v>96</v>
      </c>
    </row>
    <row r="149" spans="1:6" x14ac:dyDescent="0.25">
      <c r="A149" t="str" cm="1">
        <f t="array" aca="1" ref="A149" ca="1">"aN_CYC_1_" &amp; INDIRECT("F" &amp; ROW(C149) - 22) &amp; "_p"</f>
        <v>aN_CYC_1_1_6_p</v>
      </c>
      <c r="B149">
        <v>0</v>
      </c>
      <c r="C149" t="s">
        <v>4</v>
      </c>
    </row>
    <row r="150" spans="1:6" x14ac:dyDescent="0.25">
      <c r="A150" t="str" cm="1">
        <f t="array" aca="1" ref="A150" ca="1">"aN_CYC_2_" &amp; INDIRECT("F" &amp; ROW(C150) - 23) &amp; "_p"</f>
        <v>aN_CYC_2_1_6_p</v>
      </c>
      <c r="B150">
        <v>0</v>
      </c>
      <c r="C150" t="s">
        <v>5</v>
      </c>
    </row>
    <row r="151" spans="1:6" x14ac:dyDescent="0.25">
      <c r="A151" t="str" cm="1">
        <f t="array" aca="1" ref="A151" ca="1">"aN_CYC_3_" &amp; INDIRECT("F" &amp; ROW(C151) - 24) &amp; "_p"</f>
        <v>aN_CYC_3_1_6_p</v>
      </c>
      <c r="B151">
        <v>2</v>
      </c>
      <c r="C151" t="s">
        <v>6</v>
      </c>
    </row>
    <row r="152" spans="1:6" x14ac:dyDescent="0.25">
      <c r="A152" s="26" t="str">
        <f>"sector " &amp; D152 &amp; " and region " &amp;E152</f>
        <v>sector 2 and region 1</v>
      </c>
      <c r="B152" s="26"/>
      <c r="C152" s="26"/>
      <c r="D152" s="24">
        <v>2</v>
      </c>
      <c r="E152" s="24">
        <v>1</v>
      </c>
      <c r="F152" s="24" t="str">
        <f>D152 &amp; "_" &amp; E152</f>
        <v>2_1</v>
      </c>
    </row>
    <row r="153" spans="1:6" x14ac:dyDescent="0.25">
      <c r="A153" s="5" t="s">
        <v>3</v>
      </c>
    </row>
    <row r="154" spans="1:6" x14ac:dyDescent="0.25">
      <c r="A154" t="str" cm="1">
        <f t="array" aca="1" ref="A154" ca="1">"aN_T_1_" &amp; INDIRECT("F" &amp; ROW(C154)-2) &amp; "_p"</f>
        <v>aN_T_1_2_1_p</v>
      </c>
      <c r="B154">
        <v>0</v>
      </c>
      <c r="C154" t="s">
        <v>4</v>
      </c>
    </row>
    <row r="155" spans="1:6" x14ac:dyDescent="0.25">
      <c r="A155" t="str" cm="1">
        <f t="array" aca="1" ref="A155" ca="1">"aN_T_2_" &amp; INDIRECT("F" &amp; ROW(C155)-3) &amp; "_p"</f>
        <v>aN_T_2_2_1_p</v>
      </c>
      <c r="B155">
        <v>0</v>
      </c>
      <c r="C155" t="s">
        <v>5</v>
      </c>
    </row>
    <row r="156" spans="1:6" x14ac:dyDescent="0.25">
      <c r="A156" t="str" cm="1">
        <f t="array" aca="1" ref="A156" ca="1">"aN_T_3_" &amp; INDIRECT("F" &amp; ROW(C156)-4) &amp; "_p"</f>
        <v>aN_T_3_2_1_p</v>
      </c>
      <c r="B156">
        <v>2</v>
      </c>
      <c r="C156" t="s">
        <v>6</v>
      </c>
    </row>
    <row r="157" spans="1:6" x14ac:dyDescent="0.25">
      <c r="A157" s="5" t="s">
        <v>8</v>
      </c>
    </row>
    <row r="158" spans="1:6" x14ac:dyDescent="0.25">
      <c r="A158" t="str" cm="1">
        <f t="array" aca="1" ref="A158" ca="1">"aN_WS_1_" &amp; INDIRECT("F" &amp; ROW(C158)-6) &amp; "_p"</f>
        <v>aN_WS_1_2_1_p</v>
      </c>
      <c r="B158">
        <v>0</v>
      </c>
      <c r="C158" t="s">
        <v>4</v>
      </c>
    </row>
    <row r="159" spans="1:6" x14ac:dyDescent="0.25">
      <c r="A159" t="str" cm="1">
        <f t="array" aca="1" ref="A159" ca="1">"aN_WS_2_" &amp; INDIRECT("F" &amp; ROW(C159)-7) &amp; "_p"</f>
        <v>aN_WS_2_2_1_p</v>
      </c>
      <c r="B159">
        <v>0</v>
      </c>
      <c r="C159" t="s">
        <v>5</v>
      </c>
    </row>
    <row r="160" spans="1:6" x14ac:dyDescent="0.25">
      <c r="A160" t="str" cm="1">
        <f t="array" aca="1" ref="A160" ca="1">"aN_WS_3_" &amp; INDIRECT("F" &amp; ROW(C160)-8) &amp; "_p"</f>
        <v>aN_WS_3_2_1_p</v>
      </c>
      <c r="B160">
        <v>2</v>
      </c>
      <c r="C160" t="s">
        <v>6</v>
      </c>
    </row>
    <row r="161" spans="1:8" x14ac:dyDescent="0.25">
      <c r="A161" s="5" t="s">
        <v>7</v>
      </c>
      <c r="F161" s="27"/>
      <c r="G161" s="27"/>
      <c r="H161" s="27"/>
    </row>
    <row r="162" spans="1:8" x14ac:dyDescent="0.25">
      <c r="A162" t="str" cm="1">
        <f t="array" aca="1" ref="A162" ca="1">"aN_PREC_1_" &amp; INDIRECT("F" &amp; ROW(C162) - 10) &amp; "_p"</f>
        <v>aN_PREC_1_2_1_p</v>
      </c>
      <c r="B162">
        <v>0</v>
      </c>
      <c r="C162" t="s">
        <v>4</v>
      </c>
    </row>
    <row r="163" spans="1:8" x14ac:dyDescent="0.25">
      <c r="A163" t="str" cm="1">
        <f t="array" aca="1" ref="A163" ca="1">"aN_PREC_2_" &amp; INDIRECT("F" &amp; ROW(C163) - 11) &amp; "_p"</f>
        <v>aN_PREC_2_2_1_p</v>
      </c>
      <c r="B163">
        <v>0</v>
      </c>
      <c r="C163" t="s">
        <v>5</v>
      </c>
    </row>
    <row r="164" spans="1:8" x14ac:dyDescent="0.25">
      <c r="A164" t="str" cm="1">
        <f t="array" aca="1" ref="A164" ca="1">"aN_PREC_3_" &amp; INDIRECT("F" &amp; ROW(C164) - 12) &amp; "_p"</f>
        <v>aN_PREC_3_2_1_p</v>
      </c>
      <c r="B164">
        <v>2</v>
      </c>
      <c r="C164" t="s">
        <v>6</v>
      </c>
    </row>
    <row r="165" spans="1:8" x14ac:dyDescent="0.25">
      <c r="A165" s="5" t="s">
        <v>9</v>
      </c>
      <c r="F165" s="27"/>
      <c r="G165" s="27"/>
      <c r="H165" s="27"/>
    </row>
    <row r="166" spans="1:8" x14ac:dyDescent="0.25">
      <c r="A166" t="str" cm="1">
        <f t="array" aca="1" ref="A166" ca="1">"aN_SL_1_" &amp; INDIRECT("F" &amp; ROW(C166) - 14) &amp; "_p"</f>
        <v>aN_SL_1_2_1_p</v>
      </c>
      <c r="B166">
        <v>0</v>
      </c>
      <c r="C166" t="s">
        <v>4</v>
      </c>
    </row>
    <row r="167" spans="1:8" x14ac:dyDescent="0.25">
      <c r="A167" t="str" cm="1">
        <f t="array" aca="1" ref="A167" ca="1">"aN_SL_2_" &amp; INDIRECT("F" &amp; ROW(C167) - 15) &amp; "_p"</f>
        <v>aN_SL_2_2_1_p</v>
      </c>
      <c r="B167">
        <v>0</v>
      </c>
      <c r="C167" t="s">
        <v>5</v>
      </c>
    </row>
    <row r="168" spans="1:8" x14ac:dyDescent="0.25">
      <c r="A168" t="str" cm="1">
        <f t="array" aca="1" ref="A168" ca="1">"aN_SL_3_" &amp; INDIRECT("F" &amp; ROW(C168) - 16) &amp; "_p"</f>
        <v>aN_SL_3_2_1_p</v>
      </c>
      <c r="B168">
        <v>2</v>
      </c>
      <c r="C168" t="s">
        <v>6</v>
      </c>
    </row>
    <row r="169" spans="1:8" x14ac:dyDescent="0.25">
      <c r="A169" s="5" t="s">
        <v>95</v>
      </c>
    </row>
    <row r="170" spans="1:8" x14ac:dyDescent="0.25">
      <c r="A170" t="str" cm="1">
        <f t="array" aca="1" ref="A170" ca="1">"aN_DRO_1_" &amp; INDIRECT("F" &amp; ROW(C170) - 18) &amp; "_p"</f>
        <v>aN_DRO_1_2_1_p</v>
      </c>
      <c r="B170">
        <v>0.01</v>
      </c>
      <c r="C170" t="s">
        <v>4</v>
      </c>
    </row>
    <row r="171" spans="1:8" x14ac:dyDescent="0.25">
      <c r="A171" t="str" cm="1">
        <f t="array" aca="1" ref="A171" ca="1">"aN_DRO_2_" &amp; INDIRECT("F" &amp; ROW(C171) - 19) &amp; "_p"</f>
        <v>aN_DRO_2_2_1_p</v>
      </c>
      <c r="B171">
        <v>0</v>
      </c>
      <c r="C171" t="s">
        <v>5</v>
      </c>
    </row>
    <row r="172" spans="1:8" x14ac:dyDescent="0.25">
      <c r="A172" t="str" cm="1">
        <f t="array" aca="1" ref="A172" ca="1">"aN_DRO_3_" &amp; INDIRECT("F" &amp; ROW(C172) - 20) &amp; "_p"</f>
        <v>aN_DRO_3_2_1_p</v>
      </c>
      <c r="B172">
        <v>2</v>
      </c>
      <c r="C172" t="s">
        <v>6</v>
      </c>
    </row>
    <row r="173" spans="1:8" x14ac:dyDescent="0.25">
      <c r="A173" s="5" t="s">
        <v>96</v>
      </c>
    </row>
    <row r="174" spans="1:8" x14ac:dyDescent="0.25">
      <c r="A174" t="str" cm="1">
        <f t="array" aca="1" ref="A174" ca="1">"aN_CYC_1_" &amp; INDIRECT("F" &amp; ROW(C174) - 22) &amp; "_p"</f>
        <v>aN_CYC_1_2_1_p</v>
      </c>
      <c r="B174">
        <v>0</v>
      </c>
      <c r="C174" t="s">
        <v>4</v>
      </c>
    </row>
    <row r="175" spans="1:8" x14ac:dyDescent="0.25">
      <c r="A175" t="str" cm="1">
        <f t="array" aca="1" ref="A175" ca="1">"aN_CYC_2_" &amp; INDIRECT("F" &amp; ROW(C175) - 23) &amp; "_p"</f>
        <v>aN_CYC_2_2_1_p</v>
      </c>
      <c r="B175">
        <v>0</v>
      </c>
      <c r="C175" t="s">
        <v>5</v>
      </c>
    </row>
    <row r="176" spans="1:8" x14ac:dyDescent="0.25">
      <c r="A176" t="str" cm="1">
        <f t="array" aca="1" ref="A176" ca="1">"aN_CYC_3_" &amp; INDIRECT("F" &amp; ROW(C176) - 24) &amp; "_p"</f>
        <v>aN_CYC_3_2_1_p</v>
      </c>
      <c r="B176">
        <v>2</v>
      </c>
      <c r="C176" t="s">
        <v>6</v>
      </c>
    </row>
    <row r="177" spans="1:8" x14ac:dyDescent="0.25">
      <c r="A177" s="26" t="str">
        <f>"sector " &amp; D177 &amp; " and region " &amp;E177</f>
        <v>sector 2 and region 2</v>
      </c>
      <c r="B177" s="26"/>
      <c r="C177" s="26"/>
      <c r="D177" s="24">
        <v>2</v>
      </c>
      <c r="E177" s="24">
        <v>2</v>
      </c>
      <c r="F177" s="24" t="str">
        <f>D177 &amp; "_" &amp; E177</f>
        <v>2_2</v>
      </c>
    </row>
    <row r="178" spans="1:8" x14ac:dyDescent="0.25">
      <c r="A178" s="5" t="s">
        <v>3</v>
      </c>
    </row>
    <row r="179" spans="1:8" x14ac:dyDescent="0.25">
      <c r="A179" t="str" cm="1">
        <f t="array" aca="1" ref="A179" ca="1">"aN_T_1_" &amp; INDIRECT("F" &amp; ROW(C179)-2) &amp; "_p"</f>
        <v>aN_T_1_2_2_p</v>
      </c>
      <c r="B179">
        <v>0</v>
      </c>
      <c r="C179" t="s">
        <v>4</v>
      </c>
    </row>
    <row r="180" spans="1:8" x14ac:dyDescent="0.25">
      <c r="A180" t="str" cm="1">
        <f t="array" aca="1" ref="A180" ca="1">"aN_T_2_" &amp; INDIRECT("F" &amp; ROW(C180)-3) &amp; "_p"</f>
        <v>aN_T_2_2_2_p</v>
      </c>
      <c r="B180">
        <v>0</v>
      </c>
      <c r="C180" t="s">
        <v>5</v>
      </c>
    </row>
    <row r="181" spans="1:8" x14ac:dyDescent="0.25">
      <c r="A181" t="str" cm="1">
        <f t="array" aca="1" ref="A181" ca="1">"aN_T_3_" &amp; INDIRECT("F" &amp; ROW(C181)-4) &amp; "_p"</f>
        <v>aN_T_3_2_2_p</v>
      </c>
      <c r="B181">
        <v>2</v>
      </c>
      <c r="C181" t="s">
        <v>6</v>
      </c>
    </row>
    <row r="182" spans="1:8" x14ac:dyDescent="0.25">
      <c r="A182" s="5" t="s">
        <v>8</v>
      </c>
    </row>
    <row r="183" spans="1:8" x14ac:dyDescent="0.25">
      <c r="A183" t="str" cm="1">
        <f t="array" aca="1" ref="A183" ca="1">"aN_WS_1_" &amp; INDIRECT("F" &amp; ROW(C183)-6) &amp; "_p"</f>
        <v>aN_WS_1_2_2_p</v>
      </c>
      <c r="B183">
        <v>0</v>
      </c>
      <c r="C183" t="s">
        <v>4</v>
      </c>
    </row>
    <row r="184" spans="1:8" x14ac:dyDescent="0.25">
      <c r="A184" t="str" cm="1">
        <f t="array" aca="1" ref="A184" ca="1">"aN_WS_2_" &amp; INDIRECT("F" &amp; ROW(C184)-7) &amp; "_p"</f>
        <v>aN_WS_2_2_2_p</v>
      </c>
      <c r="B184">
        <v>0</v>
      </c>
      <c r="C184" t="s">
        <v>5</v>
      </c>
    </row>
    <row r="185" spans="1:8" x14ac:dyDescent="0.25">
      <c r="A185" t="str" cm="1">
        <f t="array" aca="1" ref="A185" ca="1">"aN_WS_3_" &amp; INDIRECT("F" &amp; ROW(C185)-8) &amp; "_p"</f>
        <v>aN_WS_3_2_2_p</v>
      </c>
      <c r="B185">
        <v>2</v>
      </c>
      <c r="C185" t="s">
        <v>6</v>
      </c>
    </row>
    <row r="186" spans="1:8" x14ac:dyDescent="0.25">
      <c r="A186" s="5" t="s">
        <v>7</v>
      </c>
      <c r="F186" s="27"/>
      <c r="G186" s="27"/>
      <c r="H186" s="27"/>
    </row>
    <row r="187" spans="1:8" x14ac:dyDescent="0.25">
      <c r="A187" t="str" cm="1">
        <f t="array" aca="1" ref="A187" ca="1">"aN_PREC_1_" &amp; INDIRECT("F" &amp; ROW(C187) - 10) &amp; "_p"</f>
        <v>aN_PREC_1_2_2_p</v>
      </c>
      <c r="B187">
        <v>0</v>
      </c>
      <c r="C187" t="s">
        <v>4</v>
      </c>
    </row>
    <row r="188" spans="1:8" x14ac:dyDescent="0.25">
      <c r="A188" t="str" cm="1">
        <f t="array" aca="1" ref="A188" ca="1">"aN_PREC_2_" &amp; INDIRECT("F" &amp; ROW(C188) - 11) &amp; "_p"</f>
        <v>aN_PREC_2_2_2_p</v>
      </c>
      <c r="B188">
        <v>0</v>
      </c>
      <c r="C188" t="s">
        <v>5</v>
      </c>
    </row>
    <row r="189" spans="1:8" x14ac:dyDescent="0.25">
      <c r="A189" t="str" cm="1">
        <f t="array" aca="1" ref="A189" ca="1">"aN_PREC_3_" &amp; INDIRECT("F" &amp; ROW(C189) - 12) &amp; "_p"</f>
        <v>aN_PREC_3_2_2_p</v>
      </c>
      <c r="B189">
        <v>2</v>
      </c>
      <c r="C189" t="s">
        <v>6</v>
      </c>
    </row>
    <row r="190" spans="1:8" x14ac:dyDescent="0.25">
      <c r="A190" s="5" t="s">
        <v>9</v>
      </c>
      <c r="F190" s="27"/>
      <c r="G190" s="27"/>
      <c r="H190" s="27"/>
    </row>
    <row r="191" spans="1:8" x14ac:dyDescent="0.25">
      <c r="A191" t="str" cm="1">
        <f t="array" aca="1" ref="A191" ca="1">"aN_SL_1_" &amp; INDIRECT("F" &amp; ROW(C191) - 14) &amp; "_p"</f>
        <v>aN_SL_1_2_2_p</v>
      </c>
      <c r="B191">
        <v>0</v>
      </c>
      <c r="C191" t="s">
        <v>4</v>
      </c>
    </row>
    <row r="192" spans="1:8" x14ac:dyDescent="0.25">
      <c r="A192" t="str" cm="1">
        <f t="array" aca="1" ref="A192" ca="1">"aN_SL_2_" &amp; INDIRECT("F" &amp; ROW(C192) - 15) &amp; "_p"</f>
        <v>aN_SL_2_2_2_p</v>
      </c>
      <c r="B192">
        <v>0</v>
      </c>
      <c r="C192" t="s">
        <v>5</v>
      </c>
    </row>
    <row r="193" spans="1:6" x14ac:dyDescent="0.25">
      <c r="A193" t="str" cm="1">
        <f t="array" aca="1" ref="A193" ca="1">"aN_SL_3_" &amp; INDIRECT("F" &amp; ROW(C193) - 16) &amp; "_p"</f>
        <v>aN_SL_3_2_2_p</v>
      </c>
      <c r="B193">
        <v>2</v>
      </c>
      <c r="C193" t="s">
        <v>6</v>
      </c>
    </row>
    <row r="194" spans="1:6" x14ac:dyDescent="0.25">
      <c r="A194" s="5" t="s">
        <v>95</v>
      </c>
    </row>
    <row r="195" spans="1:6" x14ac:dyDescent="0.25">
      <c r="A195" t="str" cm="1">
        <f t="array" aca="1" ref="A195" ca="1">"aN_DRO_1_" &amp; INDIRECT("F" &amp; ROW(C195) - 18) &amp; "_p"</f>
        <v>aN_DRO_1_2_2_p</v>
      </c>
      <c r="B195">
        <v>0.01</v>
      </c>
      <c r="C195" t="s">
        <v>4</v>
      </c>
    </row>
    <row r="196" spans="1:6" x14ac:dyDescent="0.25">
      <c r="A196" t="str" cm="1">
        <f t="array" aca="1" ref="A196" ca="1">"aN_DRO_2_" &amp; INDIRECT("F" &amp; ROW(C196) - 19) &amp; "_p"</f>
        <v>aN_DRO_2_2_2_p</v>
      </c>
      <c r="B196">
        <v>0</v>
      </c>
      <c r="C196" t="s">
        <v>5</v>
      </c>
    </row>
    <row r="197" spans="1:6" x14ac:dyDescent="0.25">
      <c r="A197" t="str" cm="1">
        <f t="array" aca="1" ref="A197" ca="1">"aN_DRO_3_" &amp; INDIRECT("F" &amp; ROW(C197) - 20) &amp; "_p"</f>
        <v>aN_DRO_3_2_2_p</v>
      </c>
      <c r="B197">
        <v>2</v>
      </c>
      <c r="C197" t="s">
        <v>6</v>
      </c>
    </row>
    <row r="198" spans="1:6" x14ac:dyDescent="0.25">
      <c r="A198" s="5" t="s">
        <v>96</v>
      </c>
    </row>
    <row r="199" spans="1:6" x14ac:dyDescent="0.25">
      <c r="A199" t="str" cm="1">
        <f t="array" aca="1" ref="A199" ca="1">"aN_CYC_1_" &amp; INDIRECT("F" &amp; ROW(C199) - 22) &amp; "_p"</f>
        <v>aN_CYC_1_2_2_p</v>
      </c>
      <c r="B199">
        <v>0</v>
      </c>
      <c r="C199" t="s">
        <v>4</v>
      </c>
    </row>
    <row r="200" spans="1:6" x14ac:dyDescent="0.25">
      <c r="A200" t="str" cm="1">
        <f t="array" aca="1" ref="A200" ca="1">"aN_CYC_2_" &amp; INDIRECT("F" &amp; ROW(C200) - 23) &amp; "_p"</f>
        <v>aN_CYC_2_2_2_p</v>
      </c>
      <c r="B200">
        <v>0</v>
      </c>
      <c r="C200" t="s">
        <v>5</v>
      </c>
    </row>
    <row r="201" spans="1:6" x14ac:dyDescent="0.25">
      <c r="A201" t="str" cm="1">
        <f t="array" aca="1" ref="A201" ca="1">"aN_CYC_3_" &amp; INDIRECT("F" &amp; ROW(C201) - 24) &amp; "_p"</f>
        <v>aN_CYC_3_2_2_p</v>
      </c>
      <c r="B201">
        <v>2</v>
      </c>
      <c r="C201" t="s">
        <v>6</v>
      </c>
    </row>
    <row r="202" spans="1:6" x14ac:dyDescent="0.25">
      <c r="A202" s="26" t="str">
        <f>"sector " &amp; D202 &amp; " and region " &amp;E202</f>
        <v>sector 2 and region 3</v>
      </c>
      <c r="B202" s="26"/>
      <c r="C202" s="26"/>
      <c r="D202" s="24">
        <v>2</v>
      </c>
      <c r="E202" s="24">
        <v>3</v>
      </c>
      <c r="F202" s="24" t="str">
        <f>D202 &amp; "_" &amp; E202</f>
        <v>2_3</v>
      </c>
    </row>
    <row r="203" spans="1:6" x14ac:dyDescent="0.25">
      <c r="A203" s="5" t="s">
        <v>3</v>
      </c>
    </row>
    <row r="204" spans="1:6" x14ac:dyDescent="0.25">
      <c r="A204" t="str" cm="1">
        <f t="array" aca="1" ref="A204" ca="1">"aN_T_1_" &amp; INDIRECT("F" &amp; ROW(C204)-2) &amp; "_p"</f>
        <v>aN_T_1_2_3_p</v>
      </c>
      <c r="B204">
        <v>0</v>
      </c>
      <c r="C204" t="s">
        <v>4</v>
      </c>
    </row>
    <row r="205" spans="1:6" x14ac:dyDescent="0.25">
      <c r="A205" t="str" cm="1">
        <f t="array" aca="1" ref="A205" ca="1">"aN_T_2_" &amp; INDIRECT("F" &amp; ROW(C205)-3) &amp; "_p"</f>
        <v>aN_T_2_2_3_p</v>
      </c>
      <c r="B205">
        <v>0</v>
      </c>
      <c r="C205" t="s">
        <v>5</v>
      </c>
    </row>
    <row r="206" spans="1:6" x14ac:dyDescent="0.25">
      <c r="A206" t="str" cm="1">
        <f t="array" aca="1" ref="A206" ca="1">"aN_T_3_" &amp; INDIRECT("F" &amp; ROW(C206)-4) &amp; "_p"</f>
        <v>aN_T_3_2_3_p</v>
      </c>
      <c r="B206">
        <v>2</v>
      </c>
      <c r="C206" t="s">
        <v>6</v>
      </c>
    </row>
    <row r="207" spans="1:6" x14ac:dyDescent="0.25">
      <c r="A207" s="5" t="s">
        <v>8</v>
      </c>
    </row>
    <row r="208" spans="1:6" x14ac:dyDescent="0.25">
      <c r="A208" t="str" cm="1">
        <f t="array" aca="1" ref="A208" ca="1">"aN_WS_1_" &amp; INDIRECT("F" &amp; ROW(C208)-6) &amp; "_p"</f>
        <v>aN_WS_1_2_3_p</v>
      </c>
      <c r="B208">
        <v>0</v>
      </c>
      <c r="C208" t="s">
        <v>4</v>
      </c>
    </row>
    <row r="209" spans="1:8" x14ac:dyDescent="0.25">
      <c r="A209" t="str" cm="1">
        <f t="array" aca="1" ref="A209" ca="1">"aN_WS_2_" &amp; INDIRECT("F" &amp; ROW(C209)-7) &amp; "_p"</f>
        <v>aN_WS_2_2_3_p</v>
      </c>
      <c r="B209">
        <v>0</v>
      </c>
      <c r="C209" t="s">
        <v>5</v>
      </c>
    </row>
    <row r="210" spans="1:8" x14ac:dyDescent="0.25">
      <c r="A210" t="str" cm="1">
        <f t="array" aca="1" ref="A210" ca="1">"aN_WS_3_" &amp; INDIRECT("F" &amp; ROW(C210)-8) &amp; "_p"</f>
        <v>aN_WS_3_2_3_p</v>
      </c>
      <c r="B210">
        <v>2</v>
      </c>
      <c r="C210" t="s">
        <v>6</v>
      </c>
    </row>
    <row r="211" spans="1:8" x14ac:dyDescent="0.25">
      <c r="A211" s="5" t="s">
        <v>7</v>
      </c>
      <c r="F211" s="27"/>
      <c r="G211" s="27"/>
      <c r="H211" s="27"/>
    </row>
    <row r="212" spans="1:8" x14ac:dyDescent="0.25">
      <c r="A212" t="str" cm="1">
        <f t="array" aca="1" ref="A212" ca="1">"aN_PREC_1_" &amp; INDIRECT("F" &amp; ROW(C212) - 10) &amp; "_p"</f>
        <v>aN_PREC_1_2_3_p</v>
      </c>
      <c r="B212">
        <v>0</v>
      </c>
      <c r="C212" t="s">
        <v>4</v>
      </c>
    </row>
    <row r="213" spans="1:8" x14ac:dyDescent="0.25">
      <c r="A213" t="str" cm="1">
        <f t="array" aca="1" ref="A213" ca="1">"aN_PREC_2_" &amp; INDIRECT("F" &amp; ROW(C213) - 11) &amp; "_p"</f>
        <v>aN_PREC_2_2_3_p</v>
      </c>
      <c r="B213">
        <v>0</v>
      </c>
      <c r="C213" t="s">
        <v>5</v>
      </c>
    </row>
    <row r="214" spans="1:8" x14ac:dyDescent="0.25">
      <c r="A214" t="str" cm="1">
        <f t="array" aca="1" ref="A214" ca="1">"aN_PREC_3_" &amp; INDIRECT("F" &amp; ROW(C214) - 12) &amp; "_p"</f>
        <v>aN_PREC_3_2_3_p</v>
      </c>
      <c r="B214">
        <v>2</v>
      </c>
      <c r="C214" t="s">
        <v>6</v>
      </c>
    </row>
    <row r="215" spans="1:8" x14ac:dyDescent="0.25">
      <c r="A215" s="5" t="s">
        <v>9</v>
      </c>
      <c r="F215" s="27"/>
      <c r="G215" s="27"/>
      <c r="H215" s="27"/>
    </row>
    <row r="216" spans="1:8" x14ac:dyDescent="0.25">
      <c r="A216" t="str" cm="1">
        <f t="array" aca="1" ref="A216" ca="1">"aN_SL_1_" &amp; INDIRECT("F" &amp; ROW(C216) - 14) &amp; "_p"</f>
        <v>aN_SL_1_2_3_p</v>
      </c>
      <c r="B216">
        <v>0</v>
      </c>
      <c r="C216" t="s">
        <v>4</v>
      </c>
    </row>
    <row r="217" spans="1:8" x14ac:dyDescent="0.25">
      <c r="A217" t="str" cm="1">
        <f t="array" aca="1" ref="A217" ca="1">"aN_SL_2_" &amp; INDIRECT("F" &amp; ROW(C217) - 15) &amp; "_p"</f>
        <v>aN_SL_2_2_3_p</v>
      </c>
      <c r="B217">
        <v>0</v>
      </c>
      <c r="C217" t="s">
        <v>5</v>
      </c>
    </row>
    <row r="218" spans="1:8" x14ac:dyDescent="0.25">
      <c r="A218" t="str" cm="1">
        <f t="array" aca="1" ref="A218" ca="1">"aN_SL_3_" &amp; INDIRECT("F" &amp; ROW(C218) - 16) &amp; "_p"</f>
        <v>aN_SL_3_2_3_p</v>
      </c>
      <c r="B218">
        <v>2</v>
      </c>
      <c r="C218" t="s">
        <v>6</v>
      </c>
    </row>
    <row r="219" spans="1:8" x14ac:dyDescent="0.25">
      <c r="A219" s="5" t="s">
        <v>95</v>
      </c>
    </row>
    <row r="220" spans="1:8" x14ac:dyDescent="0.25">
      <c r="A220" t="str" cm="1">
        <f t="array" aca="1" ref="A220" ca="1">"aN_DRO_1_" &amp; INDIRECT("F" &amp; ROW(C220) - 18) &amp; "_p"</f>
        <v>aN_DRO_1_2_3_p</v>
      </c>
      <c r="B220">
        <v>0.01</v>
      </c>
      <c r="C220" t="s">
        <v>4</v>
      </c>
    </row>
    <row r="221" spans="1:8" x14ac:dyDescent="0.25">
      <c r="A221" t="str" cm="1">
        <f t="array" aca="1" ref="A221" ca="1">"aN_DRO_2_" &amp; INDIRECT("F" &amp; ROW(C221) - 19) &amp; "_p"</f>
        <v>aN_DRO_2_2_3_p</v>
      </c>
      <c r="B221">
        <v>0</v>
      </c>
      <c r="C221" t="s">
        <v>5</v>
      </c>
    </row>
    <row r="222" spans="1:8" x14ac:dyDescent="0.25">
      <c r="A222" t="str" cm="1">
        <f t="array" aca="1" ref="A222" ca="1">"aN_DRO_3_" &amp; INDIRECT("F" &amp; ROW(C222) - 20) &amp; "_p"</f>
        <v>aN_DRO_3_2_3_p</v>
      </c>
      <c r="B222">
        <v>2</v>
      </c>
      <c r="C222" t="s">
        <v>6</v>
      </c>
    </row>
    <row r="223" spans="1:8" x14ac:dyDescent="0.25">
      <c r="A223" s="5" t="s">
        <v>96</v>
      </c>
    </row>
    <row r="224" spans="1:8" x14ac:dyDescent="0.25">
      <c r="A224" t="str" cm="1">
        <f t="array" aca="1" ref="A224" ca="1">"aN_CYC_1_" &amp; INDIRECT("F" &amp; ROW(C224) - 22) &amp; "_p"</f>
        <v>aN_CYC_1_2_3_p</v>
      </c>
      <c r="B224">
        <v>0</v>
      </c>
      <c r="C224" t="s">
        <v>4</v>
      </c>
    </row>
    <row r="225" spans="1:8" x14ac:dyDescent="0.25">
      <c r="A225" t="str" cm="1">
        <f t="array" aca="1" ref="A225" ca="1">"aN_CYC_2_" &amp; INDIRECT("F" &amp; ROW(C225) - 23) &amp; "_p"</f>
        <v>aN_CYC_2_2_3_p</v>
      </c>
      <c r="B225">
        <v>0</v>
      </c>
      <c r="C225" t="s">
        <v>5</v>
      </c>
    </row>
    <row r="226" spans="1:8" x14ac:dyDescent="0.25">
      <c r="A226" t="str" cm="1">
        <f t="array" aca="1" ref="A226" ca="1">"aN_CYC_3_" &amp; INDIRECT("F" &amp; ROW(C226) - 24) &amp; "_p"</f>
        <v>aN_CYC_3_2_3_p</v>
      </c>
      <c r="B226">
        <v>2</v>
      </c>
      <c r="C226" t="s">
        <v>6</v>
      </c>
    </row>
    <row r="227" spans="1:8" x14ac:dyDescent="0.25">
      <c r="A227" s="26" t="str">
        <f>"sector " &amp; D227 &amp; " and region " &amp;E227</f>
        <v>sector 2 and region 4</v>
      </c>
      <c r="B227" s="26"/>
      <c r="C227" s="26"/>
      <c r="D227" s="24">
        <v>2</v>
      </c>
      <c r="E227" s="24">
        <v>4</v>
      </c>
      <c r="F227" s="24" t="str">
        <f>D227 &amp; "_" &amp; E227</f>
        <v>2_4</v>
      </c>
    </row>
    <row r="228" spans="1:8" x14ac:dyDescent="0.25">
      <c r="A228" s="5" t="s">
        <v>3</v>
      </c>
    </row>
    <row r="229" spans="1:8" x14ac:dyDescent="0.25">
      <c r="A229" t="str" cm="1">
        <f t="array" aca="1" ref="A229" ca="1">"aN_T_1_" &amp; INDIRECT("F" &amp; ROW(C229)-2) &amp; "_p"</f>
        <v>aN_T_1_2_4_p</v>
      </c>
      <c r="B229">
        <v>0</v>
      </c>
      <c r="C229" t="s">
        <v>4</v>
      </c>
    </row>
    <row r="230" spans="1:8" x14ac:dyDescent="0.25">
      <c r="A230" t="str" cm="1">
        <f t="array" aca="1" ref="A230" ca="1">"aN_T_2_" &amp; INDIRECT("F" &amp; ROW(C230)-3) &amp; "_p"</f>
        <v>aN_T_2_2_4_p</v>
      </c>
      <c r="B230">
        <v>0</v>
      </c>
      <c r="C230" t="s">
        <v>5</v>
      </c>
    </row>
    <row r="231" spans="1:8" x14ac:dyDescent="0.25">
      <c r="A231" t="str" cm="1">
        <f t="array" aca="1" ref="A231" ca="1">"aN_T_3_" &amp; INDIRECT("F" &amp; ROW(C231)-4) &amp; "_p"</f>
        <v>aN_T_3_2_4_p</v>
      </c>
      <c r="B231">
        <v>2</v>
      </c>
      <c r="C231" t="s">
        <v>6</v>
      </c>
    </row>
    <row r="232" spans="1:8" x14ac:dyDescent="0.25">
      <c r="A232" s="5" t="s">
        <v>8</v>
      </c>
    </row>
    <row r="233" spans="1:8" x14ac:dyDescent="0.25">
      <c r="A233" t="str" cm="1">
        <f t="array" aca="1" ref="A233" ca="1">"aN_WS_1_" &amp; INDIRECT("F" &amp; ROW(C233)-6) &amp; "_p"</f>
        <v>aN_WS_1_2_4_p</v>
      </c>
      <c r="B233">
        <v>0</v>
      </c>
      <c r="C233" t="s">
        <v>4</v>
      </c>
    </row>
    <row r="234" spans="1:8" x14ac:dyDescent="0.25">
      <c r="A234" t="str" cm="1">
        <f t="array" aca="1" ref="A234" ca="1">"aN_WS_2_" &amp; INDIRECT("F" &amp; ROW(C234)-7) &amp; "_p"</f>
        <v>aN_WS_2_2_4_p</v>
      </c>
      <c r="B234">
        <v>0</v>
      </c>
      <c r="C234" t="s">
        <v>5</v>
      </c>
    </row>
    <row r="235" spans="1:8" x14ac:dyDescent="0.25">
      <c r="A235" t="str" cm="1">
        <f t="array" aca="1" ref="A235" ca="1">"aN_WS_3_" &amp; INDIRECT("F" &amp; ROW(C235)-8) &amp; "_p"</f>
        <v>aN_WS_3_2_4_p</v>
      </c>
      <c r="B235">
        <v>2</v>
      </c>
      <c r="C235" t="s">
        <v>6</v>
      </c>
    </row>
    <row r="236" spans="1:8" x14ac:dyDescent="0.25">
      <c r="A236" s="5" t="s">
        <v>7</v>
      </c>
      <c r="F236" s="27"/>
      <c r="G236" s="27"/>
      <c r="H236" s="27"/>
    </row>
    <row r="237" spans="1:8" x14ac:dyDescent="0.25">
      <c r="A237" t="str" cm="1">
        <f t="array" aca="1" ref="A237" ca="1">"aN_PREC_1_" &amp; INDIRECT("F" &amp; ROW(C237) - 10) &amp; "_p"</f>
        <v>aN_PREC_1_2_4_p</v>
      </c>
      <c r="B237">
        <v>0</v>
      </c>
      <c r="C237" t="s">
        <v>4</v>
      </c>
    </row>
    <row r="238" spans="1:8" x14ac:dyDescent="0.25">
      <c r="A238" t="str" cm="1">
        <f t="array" aca="1" ref="A238" ca="1">"aN_PREC_2_" &amp; INDIRECT("F" &amp; ROW(C238) - 11) &amp; "_p"</f>
        <v>aN_PREC_2_2_4_p</v>
      </c>
      <c r="B238">
        <v>0</v>
      </c>
      <c r="C238" t="s">
        <v>5</v>
      </c>
    </row>
    <row r="239" spans="1:8" x14ac:dyDescent="0.25">
      <c r="A239" t="str" cm="1">
        <f t="array" aca="1" ref="A239" ca="1">"aN_PREC_3_" &amp; INDIRECT("F" &amp; ROW(C239) - 12) &amp; "_p"</f>
        <v>aN_PREC_3_2_4_p</v>
      </c>
      <c r="B239">
        <v>2</v>
      </c>
      <c r="C239" t="s">
        <v>6</v>
      </c>
    </row>
    <row r="240" spans="1:8" x14ac:dyDescent="0.25">
      <c r="A240" s="5" t="s">
        <v>9</v>
      </c>
      <c r="F240" s="27"/>
      <c r="G240" s="27"/>
      <c r="H240" s="27"/>
    </row>
    <row r="241" spans="1:6" x14ac:dyDescent="0.25">
      <c r="A241" t="str" cm="1">
        <f t="array" aca="1" ref="A241" ca="1">"aN_SL_1_" &amp; INDIRECT("F" &amp; ROW(C241) - 14) &amp; "_p"</f>
        <v>aN_SL_1_2_4_p</v>
      </c>
      <c r="B241">
        <v>0</v>
      </c>
      <c r="C241" t="s">
        <v>4</v>
      </c>
    </row>
    <row r="242" spans="1:6" x14ac:dyDescent="0.25">
      <c r="A242" t="str" cm="1">
        <f t="array" aca="1" ref="A242" ca="1">"aN_SL_2_" &amp; INDIRECT("F" &amp; ROW(C242) - 15) &amp; "_p"</f>
        <v>aN_SL_2_2_4_p</v>
      </c>
      <c r="B242">
        <v>0</v>
      </c>
      <c r="C242" t="s">
        <v>5</v>
      </c>
    </row>
    <row r="243" spans="1:6" x14ac:dyDescent="0.25">
      <c r="A243" t="str" cm="1">
        <f t="array" aca="1" ref="A243" ca="1">"aN_SL_3_" &amp; INDIRECT("F" &amp; ROW(C243) - 16) &amp; "_p"</f>
        <v>aN_SL_3_2_4_p</v>
      </c>
      <c r="B243">
        <v>2</v>
      </c>
      <c r="C243" t="s">
        <v>6</v>
      </c>
    </row>
    <row r="244" spans="1:6" x14ac:dyDescent="0.25">
      <c r="A244" s="5" t="s">
        <v>95</v>
      </c>
    </row>
    <row r="245" spans="1:6" x14ac:dyDescent="0.25">
      <c r="A245" t="str" cm="1">
        <f t="array" aca="1" ref="A245" ca="1">"aN_DRO_1_" &amp; INDIRECT("F" &amp; ROW(C245) - 18) &amp; "_p"</f>
        <v>aN_DRO_1_2_4_p</v>
      </c>
      <c r="B245">
        <v>0.01</v>
      </c>
      <c r="C245" t="s">
        <v>4</v>
      </c>
    </row>
    <row r="246" spans="1:6" x14ac:dyDescent="0.25">
      <c r="A246" t="str" cm="1">
        <f t="array" aca="1" ref="A246" ca="1">"aN_DRO_2_" &amp; INDIRECT("F" &amp; ROW(C246) - 19) &amp; "_p"</f>
        <v>aN_DRO_2_2_4_p</v>
      </c>
      <c r="B246">
        <v>0</v>
      </c>
      <c r="C246" t="s">
        <v>5</v>
      </c>
    </row>
    <row r="247" spans="1:6" x14ac:dyDescent="0.25">
      <c r="A247" t="str" cm="1">
        <f t="array" aca="1" ref="A247" ca="1">"aN_DRO_3_" &amp; INDIRECT("F" &amp; ROW(C247) - 20) &amp; "_p"</f>
        <v>aN_DRO_3_2_4_p</v>
      </c>
      <c r="B247">
        <v>2</v>
      </c>
      <c r="C247" t="s">
        <v>6</v>
      </c>
    </row>
    <row r="248" spans="1:6" x14ac:dyDescent="0.25">
      <c r="A248" s="5" t="s">
        <v>96</v>
      </c>
    </row>
    <row r="249" spans="1:6" x14ac:dyDescent="0.25">
      <c r="A249" t="str" cm="1">
        <f t="array" aca="1" ref="A249" ca="1">"aN_CYC_1_" &amp; INDIRECT("F" &amp; ROW(C249) - 22) &amp; "_p"</f>
        <v>aN_CYC_1_2_4_p</v>
      </c>
      <c r="B249">
        <v>0</v>
      </c>
      <c r="C249" t="s">
        <v>4</v>
      </c>
    </row>
    <row r="250" spans="1:6" x14ac:dyDescent="0.25">
      <c r="A250" t="str" cm="1">
        <f t="array" aca="1" ref="A250" ca="1">"aN_CYC_2_" &amp; INDIRECT("F" &amp; ROW(C250) - 23) &amp; "_p"</f>
        <v>aN_CYC_2_2_4_p</v>
      </c>
      <c r="B250">
        <v>0</v>
      </c>
      <c r="C250" t="s">
        <v>5</v>
      </c>
    </row>
    <row r="251" spans="1:6" x14ac:dyDescent="0.25">
      <c r="A251" t="str" cm="1">
        <f t="array" aca="1" ref="A251" ca="1">"aN_CYC_3_" &amp; INDIRECT("F" &amp; ROW(C251) - 24) &amp; "_p"</f>
        <v>aN_CYC_3_2_4_p</v>
      </c>
      <c r="B251">
        <v>2</v>
      </c>
      <c r="C251" t="s">
        <v>6</v>
      </c>
    </row>
    <row r="252" spans="1:6" x14ac:dyDescent="0.25">
      <c r="A252" s="26" t="str">
        <f>"sector " &amp; D252 &amp; " and region " &amp;E252</f>
        <v>sector 2 and region 5</v>
      </c>
      <c r="B252" s="26"/>
      <c r="C252" s="26"/>
      <c r="D252" s="24">
        <v>2</v>
      </c>
      <c r="E252" s="24">
        <v>5</v>
      </c>
      <c r="F252" s="24" t="str">
        <f>D252 &amp; "_" &amp; E252</f>
        <v>2_5</v>
      </c>
    </row>
    <row r="253" spans="1:6" x14ac:dyDescent="0.25">
      <c r="A253" s="5" t="s">
        <v>3</v>
      </c>
    </row>
    <row r="254" spans="1:6" x14ac:dyDescent="0.25">
      <c r="A254" t="str" cm="1">
        <f t="array" aca="1" ref="A254" ca="1">"aN_T_1_" &amp; INDIRECT("F" &amp; ROW(C254)-2) &amp; "_p"</f>
        <v>aN_T_1_2_5_p</v>
      </c>
      <c r="B254">
        <v>0</v>
      </c>
      <c r="C254" t="s">
        <v>4</v>
      </c>
    </row>
    <row r="255" spans="1:6" x14ac:dyDescent="0.25">
      <c r="A255" t="str" cm="1">
        <f t="array" aca="1" ref="A255" ca="1">"aN_T_2_" &amp; INDIRECT("F" &amp; ROW(C255)-3) &amp; "_p"</f>
        <v>aN_T_2_2_5_p</v>
      </c>
      <c r="B255">
        <v>0</v>
      </c>
      <c r="C255" t="s">
        <v>5</v>
      </c>
    </row>
    <row r="256" spans="1:6" x14ac:dyDescent="0.25">
      <c r="A256" t="str" cm="1">
        <f t="array" aca="1" ref="A256" ca="1">"aN_T_3_" &amp; INDIRECT("F" &amp; ROW(C256)-4) &amp; "_p"</f>
        <v>aN_T_3_2_5_p</v>
      </c>
      <c r="B256">
        <v>2</v>
      </c>
      <c r="C256" t="s">
        <v>6</v>
      </c>
    </row>
    <row r="257" spans="1:8" x14ac:dyDescent="0.25">
      <c r="A257" s="5" t="s">
        <v>8</v>
      </c>
    </row>
    <row r="258" spans="1:8" x14ac:dyDescent="0.25">
      <c r="A258" t="str" cm="1">
        <f t="array" aca="1" ref="A258" ca="1">"aN_WS_1_" &amp; INDIRECT("F" &amp; ROW(C258)-6) &amp; "_p"</f>
        <v>aN_WS_1_2_5_p</v>
      </c>
      <c r="B258">
        <v>0</v>
      </c>
      <c r="C258" t="s">
        <v>4</v>
      </c>
    </row>
    <row r="259" spans="1:8" x14ac:dyDescent="0.25">
      <c r="A259" t="str" cm="1">
        <f t="array" aca="1" ref="A259" ca="1">"aN_WS_2_" &amp; INDIRECT("F" &amp; ROW(C259)-7) &amp; "_p"</f>
        <v>aN_WS_2_2_5_p</v>
      </c>
      <c r="B259">
        <v>0</v>
      </c>
      <c r="C259" t="s">
        <v>5</v>
      </c>
    </row>
    <row r="260" spans="1:8" x14ac:dyDescent="0.25">
      <c r="A260" t="str" cm="1">
        <f t="array" aca="1" ref="A260" ca="1">"aN_WS_3_" &amp; INDIRECT("F" &amp; ROW(C260)-8) &amp; "_p"</f>
        <v>aN_WS_3_2_5_p</v>
      </c>
      <c r="B260">
        <v>2</v>
      </c>
      <c r="C260" t="s">
        <v>6</v>
      </c>
    </row>
    <row r="261" spans="1:8" x14ac:dyDescent="0.25">
      <c r="A261" s="5" t="s">
        <v>7</v>
      </c>
      <c r="F261" s="27"/>
      <c r="G261" s="27"/>
      <c r="H261" s="27"/>
    </row>
    <row r="262" spans="1:8" x14ac:dyDescent="0.25">
      <c r="A262" t="str" cm="1">
        <f t="array" aca="1" ref="A262" ca="1">"aN_PREC_1_" &amp; INDIRECT("F" &amp; ROW(C262) - 10) &amp; "_p"</f>
        <v>aN_PREC_1_2_5_p</v>
      </c>
      <c r="B262">
        <v>0</v>
      </c>
      <c r="C262" t="s">
        <v>4</v>
      </c>
    </row>
    <row r="263" spans="1:8" x14ac:dyDescent="0.25">
      <c r="A263" t="str" cm="1">
        <f t="array" aca="1" ref="A263" ca="1">"aN_PREC_2_" &amp; INDIRECT("F" &amp; ROW(C263) - 11) &amp; "_p"</f>
        <v>aN_PREC_2_2_5_p</v>
      </c>
      <c r="B263">
        <v>0</v>
      </c>
      <c r="C263" t="s">
        <v>5</v>
      </c>
    </row>
    <row r="264" spans="1:8" x14ac:dyDescent="0.25">
      <c r="A264" t="str" cm="1">
        <f t="array" aca="1" ref="A264" ca="1">"aN_PREC_3_" &amp; INDIRECT("F" &amp; ROW(C264) - 12) &amp; "_p"</f>
        <v>aN_PREC_3_2_5_p</v>
      </c>
      <c r="B264">
        <v>2</v>
      </c>
      <c r="C264" t="s">
        <v>6</v>
      </c>
    </row>
    <row r="265" spans="1:8" x14ac:dyDescent="0.25">
      <c r="A265" s="5" t="s">
        <v>9</v>
      </c>
      <c r="F265" s="27"/>
      <c r="G265" s="27"/>
      <c r="H265" s="27"/>
    </row>
    <row r="266" spans="1:8" x14ac:dyDescent="0.25">
      <c r="A266" t="str" cm="1">
        <f t="array" aca="1" ref="A266" ca="1">"aN_SL_1_" &amp; INDIRECT("F" &amp; ROW(C266) - 14) &amp; "_p"</f>
        <v>aN_SL_1_2_5_p</v>
      </c>
      <c r="B266">
        <v>0</v>
      </c>
      <c r="C266" t="s">
        <v>4</v>
      </c>
    </row>
    <row r="267" spans="1:8" x14ac:dyDescent="0.25">
      <c r="A267" t="str" cm="1">
        <f t="array" aca="1" ref="A267" ca="1">"aN_SL_2_" &amp; INDIRECT("F" &amp; ROW(C267) - 15) &amp; "_p"</f>
        <v>aN_SL_2_2_5_p</v>
      </c>
      <c r="B267">
        <v>0</v>
      </c>
      <c r="C267" t="s">
        <v>5</v>
      </c>
    </row>
    <row r="268" spans="1:8" x14ac:dyDescent="0.25">
      <c r="A268" t="str" cm="1">
        <f t="array" aca="1" ref="A268" ca="1">"aN_SL_3_" &amp; INDIRECT("F" &amp; ROW(C268) - 16) &amp; "_p"</f>
        <v>aN_SL_3_2_5_p</v>
      </c>
      <c r="B268">
        <v>2</v>
      </c>
      <c r="C268" t="s">
        <v>6</v>
      </c>
    </row>
    <row r="269" spans="1:8" x14ac:dyDescent="0.25">
      <c r="A269" s="5" t="s">
        <v>95</v>
      </c>
    </row>
    <row r="270" spans="1:8" x14ac:dyDescent="0.25">
      <c r="A270" t="str" cm="1">
        <f t="array" aca="1" ref="A270" ca="1">"aN_DRO_1_" &amp; INDIRECT("F" &amp; ROW(C270) - 18) &amp; "_p"</f>
        <v>aN_DRO_1_2_5_p</v>
      </c>
      <c r="B270">
        <v>0.01</v>
      </c>
      <c r="C270" t="s">
        <v>4</v>
      </c>
    </row>
    <row r="271" spans="1:8" x14ac:dyDescent="0.25">
      <c r="A271" t="str" cm="1">
        <f t="array" aca="1" ref="A271" ca="1">"aN_DRO_2_" &amp; INDIRECT("F" &amp; ROW(C271) - 19) &amp; "_p"</f>
        <v>aN_DRO_2_2_5_p</v>
      </c>
      <c r="B271">
        <v>0</v>
      </c>
      <c r="C271" t="s">
        <v>5</v>
      </c>
    </row>
    <row r="272" spans="1:8" x14ac:dyDescent="0.25">
      <c r="A272" t="str" cm="1">
        <f t="array" aca="1" ref="A272" ca="1">"aN_DRO_3_" &amp; INDIRECT("F" &amp; ROW(C272) - 20) &amp; "_p"</f>
        <v>aN_DRO_3_2_5_p</v>
      </c>
      <c r="B272">
        <v>2</v>
      </c>
      <c r="C272" t="s">
        <v>6</v>
      </c>
    </row>
    <row r="273" spans="1:8" x14ac:dyDescent="0.25">
      <c r="A273" s="5" t="s">
        <v>96</v>
      </c>
    </row>
    <row r="274" spans="1:8" x14ac:dyDescent="0.25">
      <c r="A274" t="str" cm="1">
        <f t="array" aca="1" ref="A274" ca="1">"aN_CYC_1_" &amp; INDIRECT("F" &amp; ROW(C274) - 22) &amp; "_p"</f>
        <v>aN_CYC_1_2_5_p</v>
      </c>
      <c r="B274">
        <v>0</v>
      </c>
      <c r="C274" t="s">
        <v>4</v>
      </c>
    </row>
    <row r="275" spans="1:8" x14ac:dyDescent="0.25">
      <c r="A275" t="str" cm="1">
        <f t="array" aca="1" ref="A275" ca="1">"aN_CYC_2_" &amp; INDIRECT("F" &amp; ROW(C275) - 23) &amp; "_p"</f>
        <v>aN_CYC_2_2_5_p</v>
      </c>
      <c r="B275">
        <v>0</v>
      </c>
      <c r="C275" t="s">
        <v>5</v>
      </c>
    </row>
    <row r="276" spans="1:8" x14ac:dyDescent="0.25">
      <c r="A276" t="str" cm="1">
        <f t="array" aca="1" ref="A276" ca="1">"aN_CYC_3_" &amp; INDIRECT("F" &amp; ROW(C276) - 24) &amp; "_p"</f>
        <v>aN_CYC_3_2_5_p</v>
      </c>
      <c r="B276">
        <v>2</v>
      </c>
      <c r="C276" t="s">
        <v>6</v>
      </c>
    </row>
    <row r="277" spans="1:8" x14ac:dyDescent="0.25">
      <c r="A277" s="26" t="str">
        <f>"sector " &amp; D277 &amp; " and region " &amp;E277</f>
        <v>sector 2 and region 6</v>
      </c>
      <c r="B277" s="26"/>
      <c r="C277" s="26"/>
      <c r="D277" s="24">
        <v>2</v>
      </c>
      <c r="E277" s="24">
        <v>6</v>
      </c>
      <c r="F277" s="24" t="str">
        <f>D277 &amp; "_" &amp; E277</f>
        <v>2_6</v>
      </c>
    </row>
    <row r="278" spans="1:8" x14ac:dyDescent="0.25">
      <c r="A278" s="5" t="s">
        <v>3</v>
      </c>
    </row>
    <row r="279" spans="1:8" x14ac:dyDescent="0.25">
      <c r="A279" t="str" cm="1">
        <f t="array" aca="1" ref="A279" ca="1">"aN_T_1_" &amp; INDIRECT("F" &amp; ROW(C279)-2) &amp; "_p"</f>
        <v>aN_T_1_2_6_p</v>
      </c>
      <c r="B279">
        <v>0</v>
      </c>
      <c r="C279" t="s">
        <v>4</v>
      </c>
    </row>
    <row r="280" spans="1:8" x14ac:dyDescent="0.25">
      <c r="A280" t="str" cm="1">
        <f t="array" aca="1" ref="A280" ca="1">"aN_T_2_" &amp; INDIRECT("F" &amp; ROW(C280)-3) &amp; "_p"</f>
        <v>aN_T_2_2_6_p</v>
      </c>
      <c r="B280">
        <v>0</v>
      </c>
      <c r="C280" t="s">
        <v>5</v>
      </c>
    </row>
    <row r="281" spans="1:8" x14ac:dyDescent="0.25">
      <c r="A281" t="str" cm="1">
        <f t="array" aca="1" ref="A281" ca="1">"aN_T_3_" &amp; INDIRECT("F" &amp; ROW(C281)-4) &amp; "_p"</f>
        <v>aN_T_3_2_6_p</v>
      </c>
      <c r="B281">
        <v>2</v>
      </c>
      <c r="C281" t="s">
        <v>6</v>
      </c>
    </row>
    <row r="282" spans="1:8" x14ac:dyDescent="0.25">
      <c r="A282" s="5" t="s">
        <v>8</v>
      </c>
    </row>
    <row r="283" spans="1:8" x14ac:dyDescent="0.25">
      <c r="A283" t="str" cm="1">
        <f t="array" aca="1" ref="A283" ca="1">"aN_WS_1_" &amp; INDIRECT("F" &amp; ROW(C283)-6) &amp; "_p"</f>
        <v>aN_WS_1_2_6_p</v>
      </c>
      <c r="B283">
        <v>0</v>
      </c>
      <c r="C283" t="s">
        <v>4</v>
      </c>
    </row>
    <row r="284" spans="1:8" x14ac:dyDescent="0.25">
      <c r="A284" t="str" cm="1">
        <f t="array" aca="1" ref="A284" ca="1">"aN_WS_2_" &amp; INDIRECT("F" &amp; ROW(C284)-7) &amp; "_p"</f>
        <v>aN_WS_2_2_6_p</v>
      </c>
      <c r="B284">
        <v>0</v>
      </c>
      <c r="C284" t="s">
        <v>5</v>
      </c>
    </row>
    <row r="285" spans="1:8" x14ac:dyDescent="0.25">
      <c r="A285" t="str" cm="1">
        <f t="array" aca="1" ref="A285" ca="1">"aN_WS_3_" &amp; INDIRECT("F" &amp; ROW(C285)-8) &amp; "_p"</f>
        <v>aN_WS_3_2_6_p</v>
      </c>
      <c r="B285">
        <v>2</v>
      </c>
      <c r="C285" t="s">
        <v>6</v>
      </c>
    </row>
    <row r="286" spans="1:8" x14ac:dyDescent="0.25">
      <c r="A286" s="5" t="s">
        <v>7</v>
      </c>
      <c r="F286" s="27"/>
      <c r="G286" s="27"/>
      <c r="H286" s="27"/>
    </row>
    <row r="287" spans="1:8" x14ac:dyDescent="0.25">
      <c r="A287" t="str" cm="1">
        <f t="array" aca="1" ref="A287" ca="1">"aN_PREC_1_" &amp; INDIRECT("F" &amp; ROW(C287) - 10) &amp; "_p"</f>
        <v>aN_PREC_1_2_6_p</v>
      </c>
      <c r="B287">
        <v>0</v>
      </c>
      <c r="C287" t="s">
        <v>4</v>
      </c>
    </row>
    <row r="288" spans="1:8" x14ac:dyDescent="0.25">
      <c r="A288" t="str" cm="1">
        <f t="array" aca="1" ref="A288" ca="1">"aN_PREC_2_" &amp; INDIRECT("F" &amp; ROW(C288) - 11) &amp; "_p"</f>
        <v>aN_PREC_2_2_6_p</v>
      </c>
      <c r="B288">
        <v>0</v>
      </c>
      <c r="C288" t="s">
        <v>5</v>
      </c>
    </row>
    <row r="289" spans="1:8" x14ac:dyDescent="0.25">
      <c r="A289" t="str" cm="1">
        <f t="array" aca="1" ref="A289" ca="1">"aN_PREC_3_" &amp; INDIRECT("F" &amp; ROW(C289) - 12) &amp; "_p"</f>
        <v>aN_PREC_3_2_6_p</v>
      </c>
      <c r="B289">
        <v>2</v>
      </c>
      <c r="C289" t="s">
        <v>6</v>
      </c>
    </row>
    <row r="290" spans="1:8" x14ac:dyDescent="0.25">
      <c r="A290" s="5" t="s">
        <v>9</v>
      </c>
      <c r="F290" s="27"/>
      <c r="G290" s="27"/>
      <c r="H290" s="27"/>
    </row>
    <row r="291" spans="1:8" x14ac:dyDescent="0.25">
      <c r="A291" t="str" cm="1">
        <f t="array" aca="1" ref="A291" ca="1">"aN_SL_1_" &amp; INDIRECT("F" &amp; ROW(C291) - 14) &amp; "_p"</f>
        <v>aN_SL_1_2_6_p</v>
      </c>
      <c r="B291">
        <v>0</v>
      </c>
      <c r="C291" t="s">
        <v>4</v>
      </c>
    </row>
    <row r="292" spans="1:8" x14ac:dyDescent="0.25">
      <c r="A292" t="str" cm="1">
        <f t="array" aca="1" ref="A292" ca="1">"aN_SL_2_" &amp; INDIRECT("F" &amp; ROW(C292) - 15) &amp; "_p"</f>
        <v>aN_SL_2_2_6_p</v>
      </c>
      <c r="B292">
        <v>0</v>
      </c>
      <c r="C292" t="s">
        <v>5</v>
      </c>
    </row>
    <row r="293" spans="1:8" x14ac:dyDescent="0.25">
      <c r="A293" t="str" cm="1">
        <f t="array" aca="1" ref="A293" ca="1">"aN_SL_3_" &amp; INDIRECT("F" &amp; ROW(C293) - 16) &amp; "_p"</f>
        <v>aN_SL_3_2_6_p</v>
      </c>
      <c r="B293">
        <v>2</v>
      </c>
      <c r="C293" t="s">
        <v>6</v>
      </c>
    </row>
    <row r="294" spans="1:8" x14ac:dyDescent="0.25">
      <c r="A294" s="5" t="s">
        <v>95</v>
      </c>
    </row>
    <row r="295" spans="1:8" x14ac:dyDescent="0.25">
      <c r="A295" t="str" cm="1">
        <f t="array" aca="1" ref="A295" ca="1">"aN_DRO_1_" &amp; INDIRECT("F" &amp; ROW(C295) - 18) &amp; "_p"</f>
        <v>aN_DRO_1_2_6_p</v>
      </c>
      <c r="B295">
        <v>0.01</v>
      </c>
      <c r="C295" t="s">
        <v>4</v>
      </c>
    </row>
    <row r="296" spans="1:8" x14ac:dyDescent="0.25">
      <c r="A296" t="str" cm="1">
        <f t="array" aca="1" ref="A296" ca="1">"aN_DRO_2_" &amp; INDIRECT("F" &amp; ROW(C296) - 19) &amp; "_p"</f>
        <v>aN_DRO_2_2_6_p</v>
      </c>
      <c r="B296">
        <v>0</v>
      </c>
      <c r="C296" t="s">
        <v>5</v>
      </c>
    </row>
    <row r="297" spans="1:8" x14ac:dyDescent="0.25">
      <c r="A297" t="str" cm="1">
        <f t="array" aca="1" ref="A297" ca="1">"aN_DRO_3_" &amp; INDIRECT("F" &amp; ROW(C297) - 20) &amp; "_p"</f>
        <v>aN_DRO_3_2_6_p</v>
      </c>
      <c r="B297">
        <v>2</v>
      </c>
      <c r="C297" t="s">
        <v>6</v>
      </c>
    </row>
    <row r="298" spans="1:8" x14ac:dyDescent="0.25">
      <c r="A298" s="5" t="s">
        <v>96</v>
      </c>
    </row>
    <row r="299" spans="1:8" x14ac:dyDescent="0.25">
      <c r="A299" t="str" cm="1">
        <f t="array" aca="1" ref="A299" ca="1">"aN_CYC_1_" &amp; INDIRECT("F" &amp; ROW(C299) - 22) &amp; "_p"</f>
        <v>aN_CYC_1_2_6_p</v>
      </c>
      <c r="B299">
        <v>0</v>
      </c>
      <c r="C299" t="s">
        <v>4</v>
      </c>
    </row>
    <row r="300" spans="1:8" x14ac:dyDescent="0.25">
      <c r="A300" t="str" cm="1">
        <f t="array" aca="1" ref="A300" ca="1">"aN_CYC_2_" &amp; INDIRECT("F" &amp; ROW(C300) - 23) &amp; "_p"</f>
        <v>aN_CYC_2_2_6_p</v>
      </c>
      <c r="B300">
        <v>0</v>
      </c>
      <c r="C300" t="s">
        <v>5</v>
      </c>
    </row>
    <row r="301" spans="1:8" x14ac:dyDescent="0.25">
      <c r="A301" t="str" cm="1">
        <f t="array" aca="1" ref="A301" ca="1">"aN_CYC_3_" &amp; INDIRECT("F" &amp; ROW(C301) - 24) &amp; "_p"</f>
        <v>aN_CYC_3_2_6_p</v>
      </c>
      <c r="B301">
        <v>2</v>
      </c>
      <c r="C301" t="s">
        <v>6</v>
      </c>
    </row>
    <row r="302" spans="1:8" x14ac:dyDescent="0.25">
      <c r="A302" s="26" t="str">
        <f>"sector " &amp; D302 &amp; " and region " &amp;E302</f>
        <v>sector 3 and region 1</v>
      </c>
      <c r="B302" s="26"/>
      <c r="C302" s="26"/>
      <c r="D302" s="24">
        <v>3</v>
      </c>
      <c r="E302" s="24">
        <v>1</v>
      </c>
      <c r="F302" s="24" t="str">
        <f>D302 &amp; "_" &amp; E302</f>
        <v>3_1</v>
      </c>
    </row>
    <row r="303" spans="1:8" x14ac:dyDescent="0.25">
      <c r="A303" s="5" t="s">
        <v>3</v>
      </c>
    </row>
    <row r="304" spans="1:8" x14ac:dyDescent="0.25">
      <c r="A304" t="str" cm="1">
        <f t="array" aca="1" ref="A304" ca="1">"aN_T_1_" &amp; INDIRECT("F" &amp; ROW(C304)-2) &amp; "_p"</f>
        <v>aN_T_1_3_1_p</v>
      </c>
      <c r="B304">
        <v>0</v>
      </c>
      <c r="C304" t="s">
        <v>4</v>
      </c>
    </row>
    <row r="305" spans="1:8" x14ac:dyDescent="0.25">
      <c r="A305" t="str" cm="1">
        <f t="array" aca="1" ref="A305" ca="1">"aN_T_2_" &amp; INDIRECT("F" &amp; ROW(C305)-3) &amp; "_p"</f>
        <v>aN_T_2_3_1_p</v>
      </c>
      <c r="B305">
        <v>0</v>
      </c>
      <c r="C305" t="s">
        <v>5</v>
      </c>
    </row>
    <row r="306" spans="1:8" x14ac:dyDescent="0.25">
      <c r="A306" t="str" cm="1">
        <f t="array" aca="1" ref="A306" ca="1">"aN_T_3_" &amp; INDIRECT("F" &amp; ROW(C306)-4) &amp; "_p"</f>
        <v>aN_T_3_3_1_p</v>
      </c>
      <c r="B306">
        <v>2</v>
      </c>
      <c r="C306" t="s">
        <v>6</v>
      </c>
    </row>
    <row r="307" spans="1:8" x14ac:dyDescent="0.25">
      <c r="A307" s="5" t="s">
        <v>8</v>
      </c>
    </row>
    <row r="308" spans="1:8" x14ac:dyDescent="0.25">
      <c r="A308" t="str" cm="1">
        <f t="array" aca="1" ref="A308" ca="1">"aN_WS_1_" &amp; INDIRECT("F" &amp; ROW(C308)-6) &amp; "_p"</f>
        <v>aN_WS_1_3_1_p</v>
      </c>
      <c r="B308">
        <v>0</v>
      </c>
      <c r="C308" t="s">
        <v>4</v>
      </c>
    </row>
    <row r="309" spans="1:8" x14ac:dyDescent="0.25">
      <c r="A309" t="str" cm="1">
        <f t="array" aca="1" ref="A309" ca="1">"aN_WS_2_" &amp; INDIRECT("F" &amp; ROW(C309)-7) &amp; "_p"</f>
        <v>aN_WS_2_3_1_p</v>
      </c>
      <c r="B309">
        <v>0</v>
      </c>
      <c r="C309" t="s">
        <v>5</v>
      </c>
    </row>
    <row r="310" spans="1:8" x14ac:dyDescent="0.25">
      <c r="A310" t="str" cm="1">
        <f t="array" aca="1" ref="A310" ca="1">"aN_WS_3_" &amp; INDIRECT("F" &amp; ROW(C310)-8) &amp; "_p"</f>
        <v>aN_WS_3_3_1_p</v>
      </c>
      <c r="B310">
        <v>2</v>
      </c>
      <c r="C310" t="s">
        <v>6</v>
      </c>
    </row>
    <row r="311" spans="1:8" x14ac:dyDescent="0.25">
      <c r="A311" s="5" t="s">
        <v>7</v>
      </c>
      <c r="F311" s="27"/>
      <c r="G311" s="27"/>
      <c r="H311" s="27"/>
    </row>
    <row r="312" spans="1:8" x14ac:dyDescent="0.25">
      <c r="A312" t="str" cm="1">
        <f t="array" aca="1" ref="A312" ca="1">"aN_PREC_1_" &amp; INDIRECT("F" &amp; ROW(C312) - 10) &amp; "_p"</f>
        <v>aN_PREC_1_3_1_p</v>
      </c>
      <c r="B312">
        <v>0</v>
      </c>
      <c r="C312" t="s">
        <v>4</v>
      </c>
    </row>
    <row r="313" spans="1:8" x14ac:dyDescent="0.25">
      <c r="A313" t="str" cm="1">
        <f t="array" aca="1" ref="A313" ca="1">"aN_PREC_2_" &amp; INDIRECT("F" &amp; ROW(C313) - 11) &amp; "_p"</f>
        <v>aN_PREC_2_3_1_p</v>
      </c>
      <c r="B313">
        <v>0</v>
      </c>
      <c r="C313" t="s">
        <v>5</v>
      </c>
    </row>
    <row r="314" spans="1:8" x14ac:dyDescent="0.25">
      <c r="A314" t="str" cm="1">
        <f t="array" aca="1" ref="A314" ca="1">"aN_PREC_3_" &amp; INDIRECT("F" &amp; ROW(C314) - 12) &amp; "_p"</f>
        <v>aN_PREC_3_3_1_p</v>
      </c>
      <c r="B314">
        <v>2</v>
      </c>
      <c r="C314" t="s">
        <v>6</v>
      </c>
    </row>
    <row r="315" spans="1:8" x14ac:dyDescent="0.25">
      <c r="A315" s="5" t="s">
        <v>9</v>
      </c>
      <c r="F315" s="27"/>
      <c r="G315" s="27"/>
      <c r="H315" s="27"/>
    </row>
    <row r="316" spans="1:8" x14ac:dyDescent="0.25">
      <c r="A316" t="str" cm="1">
        <f t="array" aca="1" ref="A316" ca="1">"aN_SL_1_" &amp; INDIRECT("F" &amp; ROW(C316) - 14) &amp; "_p"</f>
        <v>aN_SL_1_3_1_p</v>
      </c>
      <c r="B316">
        <v>0</v>
      </c>
      <c r="C316" t="s">
        <v>4</v>
      </c>
    </row>
    <row r="317" spans="1:8" x14ac:dyDescent="0.25">
      <c r="A317" t="str" cm="1">
        <f t="array" aca="1" ref="A317" ca="1">"aN_SL_2_" &amp; INDIRECT("F" &amp; ROW(C317) - 15) &amp; "_p"</f>
        <v>aN_SL_2_3_1_p</v>
      </c>
      <c r="B317">
        <v>0</v>
      </c>
      <c r="C317" t="s">
        <v>5</v>
      </c>
    </row>
    <row r="318" spans="1:8" x14ac:dyDescent="0.25">
      <c r="A318" t="str" cm="1">
        <f t="array" aca="1" ref="A318" ca="1">"aN_SL_3_" &amp; INDIRECT("F" &amp; ROW(C318) - 16) &amp; "_p"</f>
        <v>aN_SL_3_3_1_p</v>
      </c>
      <c r="B318">
        <v>2</v>
      </c>
      <c r="C318" t="s">
        <v>6</v>
      </c>
    </row>
    <row r="319" spans="1:8" x14ac:dyDescent="0.25">
      <c r="A319" s="5" t="s">
        <v>95</v>
      </c>
    </row>
    <row r="320" spans="1:8" x14ac:dyDescent="0.25">
      <c r="A320" t="str" cm="1">
        <f t="array" aca="1" ref="A320" ca="1">"aN_DRO_1_" &amp; INDIRECT("F" &amp; ROW(C320) - 18) &amp; "_p"</f>
        <v>aN_DRO_1_3_1_p</v>
      </c>
      <c r="B320">
        <v>0.01</v>
      </c>
      <c r="C320" t="s">
        <v>4</v>
      </c>
    </row>
    <row r="321" spans="1:8" x14ac:dyDescent="0.25">
      <c r="A321" t="str" cm="1">
        <f t="array" aca="1" ref="A321" ca="1">"aN_DRO_2_" &amp; INDIRECT("F" &amp; ROW(C321) - 19) &amp; "_p"</f>
        <v>aN_DRO_2_3_1_p</v>
      </c>
      <c r="B321">
        <v>0</v>
      </c>
      <c r="C321" t="s">
        <v>5</v>
      </c>
    </row>
    <row r="322" spans="1:8" x14ac:dyDescent="0.25">
      <c r="A322" t="str" cm="1">
        <f t="array" aca="1" ref="A322" ca="1">"aN_DRO_3_" &amp; INDIRECT("F" &amp; ROW(C322) - 20) &amp; "_p"</f>
        <v>aN_DRO_3_3_1_p</v>
      </c>
      <c r="B322">
        <v>2</v>
      </c>
      <c r="C322" t="s">
        <v>6</v>
      </c>
    </row>
    <row r="323" spans="1:8" x14ac:dyDescent="0.25">
      <c r="A323" s="5" t="s">
        <v>96</v>
      </c>
    </row>
    <row r="324" spans="1:8" x14ac:dyDescent="0.25">
      <c r="A324" t="str" cm="1">
        <f t="array" aca="1" ref="A324" ca="1">"aN_CYC_1_" &amp; INDIRECT("F" &amp; ROW(C324) - 22) &amp; "_p"</f>
        <v>aN_CYC_1_3_1_p</v>
      </c>
      <c r="B324">
        <v>0</v>
      </c>
      <c r="C324" t="s">
        <v>4</v>
      </c>
    </row>
    <row r="325" spans="1:8" x14ac:dyDescent="0.25">
      <c r="A325" t="str" cm="1">
        <f t="array" aca="1" ref="A325" ca="1">"aN_CYC_2_" &amp; INDIRECT("F" &amp; ROW(C325) - 23) &amp; "_p"</f>
        <v>aN_CYC_2_3_1_p</v>
      </c>
      <c r="B325">
        <v>0</v>
      </c>
      <c r="C325" t="s">
        <v>5</v>
      </c>
    </row>
    <row r="326" spans="1:8" x14ac:dyDescent="0.25">
      <c r="A326" t="str" cm="1">
        <f t="array" aca="1" ref="A326" ca="1">"aN_CYC_3_" &amp; INDIRECT("F" &amp; ROW(C326) - 24) &amp; "_p"</f>
        <v>aN_CYC_3_3_1_p</v>
      </c>
      <c r="B326">
        <v>2</v>
      </c>
      <c r="C326" t="s">
        <v>6</v>
      </c>
    </row>
    <row r="327" spans="1:8" x14ac:dyDescent="0.25">
      <c r="A327" s="26" t="str">
        <f>"sector " &amp; D327 &amp; " and region " &amp;E327</f>
        <v>sector 3 and region 2</v>
      </c>
      <c r="B327" s="26"/>
      <c r="C327" s="26"/>
      <c r="D327" s="24">
        <v>3</v>
      </c>
      <c r="E327" s="24">
        <v>2</v>
      </c>
      <c r="F327" s="24" t="str">
        <f>D327 &amp; "_" &amp; E327</f>
        <v>3_2</v>
      </c>
    </row>
    <row r="328" spans="1:8" x14ac:dyDescent="0.25">
      <c r="A328" s="5" t="s">
        <v>3</v>
      </c>
    </row>
    <row r="329" spans="1:8" x14ac:dyDescent="0.25">
      <c r="A329" t="str" cm="1">
        <f t="array" aca="1" ref="A329" ca="1">"aN_T_1_" &amp; INDIRECT("F" &amp; ROW(C329)-2) &amp; "_p"</f>
        <v>aN_T_1_3_2_p</v>
      </c>
      <c r="B329">
        <v>0</v>
      </c>
      <c r="C329" t="s">
        <v>4</v>
      </c>
    </row>
    <row r="330" spans="1:8" x14ac:dyDescent="0.25">
      <c r="A330" t="str" cm="1">
        <f t="array" aca="1" ref="A330" ca="1">"aN_T_2_" &amp; INDIRECT("F" &amp; ROW(C330)-3) &amp; "_p"</f>
        <v>aN_T_2_3_2_p</v>
      </c>
      <c r="B330">
        <v>0</v>
      </c>
      <c r="C330" t="s">
        <v>5</v>
      </c>
    </row>
    <row r="331" spans="1:8" x14ac:dyDescent="0.25">
      <c r="A331" t="str" cm="1">
        <f t="array" aca="1" ref="A331" ca="1">"aN_T_3_" &amp; INDIRECT("F" &amp; ROW(C331)-4) &amp; "_p"</f>
        <v>aN_T_3_3_2_p</v>
      </c>
      <c r="B331">
        <v>2</v>
      </c>
      <c r="C331" t="s">
        <v>6</v>
      </c>
    </row>
    <row r="332" spans="1:8" x14ac:dyDescent="0.25">
      <c r="A332" s="5" t="s">
        <v>8</v>
      </c>
    </row>
    <row r="333" spans="1:8" x14ac:dyDescent="0.25">
      <c r="A333" t="str" cm="1">
        <f t="array" aca="1" ref="A333" ca="1">"aN_WS_1_" &amp; INDIRECT("F" &amp; ROW(C333)-6) &amp; "_p"</f>
        <v>aN_WS_1_3_2_p</v>
      </c>
      <c r="B333">
        <v>0</v>
      </c>
      <c r="C333" t="s">
        <v>4</v>
      </c>
    </row>
    <row r="334" spans="1:8" x14ac:dyDescent="0.25">
      <c r="A334" t="str" cm="1">
        <f t="array" aca="1" ref="A334" ca="1">"aN_WS_2_" &amp; INDIRECT("F" &amp; ROW(C334)-7) &amp; "_p"</f>
        <v>aN_WS_2_3_2_p</v>
      </c>
      <c r="B334">
        <v>0</v>
      </c>
      <c r="C334" t="s">
        <v>5</v>
      </c>
    </row>
    <row r="335" spans="1:8" x14ac:dyDescent="0.25">
      <c r="A335" t="str" cm="1">
        <f t="array" aca="1" ref="A335" ca="1">"aN_WS_3_" &amp; INDIRECT("F" &amp; ROW(C335)-8) &amp; "_p"</f>
        <v>aN_WS_3_3_2_p</v>
      </c>
      <c r="B335">
        <v>2</v>
      </c>
      <c r="C335" t="s">
        <v>6</v>
      </c>
    </row>
    <row r="336" spans="1:8" x14ac:dyDescent="0.25">
      <c r="A336" s="5" t="s">
        <v>7</v>
      </c>
      <c r="F336" s="27"/>
      <c r="G336" s="27"/>
      <c r="H336" s="27"/>
    </row>
    <row r="337" spans="1:8" x14ac:dyDescent="0.25">
      <c r="A337" t="str" cm="1">
        <f t="array" aca="1" ref="A337" ca="1">"aN_PREC_1_" &amp; INDIRECT("F" &amp; ROW(C337) - 10) &amp; "_p"</f>
        <v>aN_PREC_1_3_2_p</v>
      </c>
      <c r="B337">
        <v>0</v>
      </c>
      <c r="C337" t="s">
        <v>4</v>
      </c>
    </row>
    <row r="338" spans="1:8" x14ac:dyDescent="0.25">
      <c r="A338" t="str" cm="1">
        <f t="array" aca="1" ref="A338" ca="1">"aN_PREC_2_" &amp; INDIRECT("F" &amp; ROW(C338) - 11) &amp; "_p"</f>
        <v>aN_PREC_2_3_2_p</v>
      </c>
      <c r="B338">
        <v>0</v>
      </c>
      <c r="C338" t="s">
        <v>5</v>
      </c>
    </row>
    <row r="339" spans="1:8" x14ac:dyDescent="0.25">
      <c r="A339" t="str" cm="1">
        <f t="array" aca="1" ref="A339" ca="1">"aN_PREC_3_" &amp; INDIRECT("F" &amp; ROW(C339) - 12) &amp; "_p"</f>
        <v>aN_PREC_3_3_2_p</v>
      </c>
      <c r="B339">
        <v>2</v>
      </c>
      <c r="C339" t="s">
        <v>6</v>
      </c>
    </row>
    <row r="340" spans="1:8" x14ac:dyDescent="0.25">
      <c r="A340" s="5" t="s">
        <v>9</v>
      </c>
      <c r="F340" s="27"/>
      <c r="G340" s="27"/>
      <c r="H340" s="27"/>
    </row>
    <row r="341" spans="1:8" x14ac:dyDescent="0.25">
      <c r="A341" t="str" cm="1">
        <f t="array" aca="1" ref="A341" ca="1">"aN_SL_1_" &amp; INDIRECT("F" &amp; ROW(C341) - 14) &amp; "_p"</f>
        <v>aN_SL_1_3_2_p</v>
      </c>
      <c r="B341">
        <v>0</v>
      </c>
      <c r="C341" t="s">
        <v>4</v>
      </c>
    </row>
    <row r="342" spans="1:8" x14ac:dyDescent="0.25">
      <c r="A342" t="str" cm="1">
        <f t="array" aca="1" ref="A342" ca="1">"aN_SL_2_" &amp; INDIRECT("F" &amp; ROW(C342) - 15) &amp; "_p"</f>
        <v>aN_SL_2_3_2_p</v>
      </c>
      <c r="B342">
        <v>0</v>
      </c>
      <c r="C342" t="s">
        <v>5</v>
      </c>
    </row>
    <row r="343" spans="1:8" x14ac:dyDescent="0.25">
      <c r="A343" t="str" cm="1">
        <f t="array" aca="1" ref="A343" ca="1">"aN_SL_3_" &amp; INDIRECT("F" &amp; ROW(C343) - 16) &amp; "_p"</f>
        <v>aN_SL_3_3_2_p</v>
      </c>
      <c r="B343">
        <v>2</v>
      </c>
      <c r="C343" t="s">
        <v>6</v>
      </c>
    </row>
    <row r="344" spans="1:8" x14ac:dyDescent="0.25">
      <c r="A344" s="5" t="s">
        <v>95</v>
      </c>
    </row>
    <row r="345" spans="1:8" x14ac:dyDescent="0.25">
      <c r="A345" t="str" cm="1">
        <f t="array" aca="1" ref="A345" ca="1">"aN_DRO_1_" &amp; INDIRECT("F" &amp; ROW(C345) - 18) &amp; "_p"</f>
        <v>aN_DRO_1_3_2_p</v>
      </c>
      <c r="B345">
        <v>0.01</v>
      </c>
      <c r="C345" t="s">
        <v>4</v>
      </c>
    </row>
    <row r="346" spans="1:8" x14ac:dyDescent="0.25">
      <c r="A346" t="str" cm="1">
        <f t="array" aca="1" ref="A346" ca="1">"aN_DRO_2_" &amp; INDIRECT("F" &amp; ROW(C346) - 19) &amp; "_p"</f>
        <v>aN_DRO_2_3_2_p</v>
      </c>
      <c r="B346">
        <v>0</v>
      </c>
      <c r="C346" t="s">
        <v>5</v>
      </c>
    </row>
    <row r="347" spans="1:8" x14ac:dyDescent="0.25">
      <c r="A347" t="str" cm="1">
        <f t="array" aca="1" ref="A347" ca="1">"aN_DRO_3_" &amp; INDIRECT("F" &amp; ROW(C347) - 20) &amp; "_p"</f>
        <v>aN_DRO_3_3_2_p</v>
      </c>
      <c r="B347">
        <v>2</v>
      </c>
      <c r="C347" t="s">
        <v>6</v>
      </c>
    </row>
    <row r="348" spans="1:8" x14ac:dyDescent="0.25">
      <c r="A348" s="5" t="s">
        <v>96</v>
      </c>
    </row>
    <row r="349" spans="1:8" x14ac:dyDescent="0.25">
      <c r="A349" t="str" cm="1">
        <f t="array" aca="1" ref="A349" ca="1">"aN_CYC_1_" &amp; INDIRECT("F" &amp; ROW(C349) - 22) &amp; "_p"</f>
        <v>aN_CYC_1_3_2_p</v>
      </c>
      <c r="B349">
        <v>0</v>
      </c>
      <c r="C349" t="s">
        <v>4</v>
      </c>
    </row>
    <row r="350" spans="1:8" x14ac:dyDescent="0.25">
      <c r="A350" t="str" cm="1">
        <f t="array" aca="1" ref="A350" ca="1">"aN_CYC_2_" &amp; INDIRECT("F" &amp; ROW(C350) - 23) &amp; "_p"</f>
        <v>aN_CYC_2_3_2_p</v>
      </c>
      <c r="B350">
        <v>0</v>
      </c>
      <c r="C350" t="s">
        <v>5</v>
      </c>
    </row>
    <row r="351" spans="1:8" x14ac:dyDescent="0.25">
      <c r="A351" t="str" cm="1">
        <f t="array" aca="1" ref="A351" ca="1">"aN_CYC_3_" &amp; INDIRECT("F" &amp; ROW(C351) - 24) &amp; "_p"</f>
        <v>aN_CYC_3_3_2_p</v>
      </c>
      <c r="B351">
        <v>2</v>
      </c>
      <c r="C351" t="s">
        <v>6</v>
      </c>
    </row>
    <row r="352" spans="1:8" x14ac:dyDescent="0.25">
      <c r="A352" s="26" t="str">
        <f>"sector " &amp; D352 &amp; " and region " &amp;E352</f>
        <v>sector 3 and region 3</v>
      </c>
      <c r="B352" s="26"/>
      <c r="C352" s="26"/>
      <c r="D352" s="24">
        <v>3</v>
      </c>
      <c r="E352" s="24">
        <v>3</v>
      </c>
      <c r="F352" s="24" t="str">
        <f>D352 &amp; "_" &amp; E352</f>
        <v>3_3</v>
      </c>
    </row>
    <row r="353" spans="1:8" x14ac:dyDescent="0.25">
      <c r="A353" s="5" t="s">
        <v>3</v>
      </c>
    </row>
    <row r="354" spans="1:8" x14ac:dyDescent="0.25">
      <c r="A354" t="str" cm="1">
        <f t="array" aca="1" ref="A354" ca="1">"aN_T_1_" &amp; INDIRECT("F" &amp; ROW(C354)-2) &amp; "_p"</f>
        <v>aN_T_1_3_3_p</v>
      </c>
      <c r="B354">
        <v>0</v>
      </c>
      <c r="C354" t="s">
        <v>4</v>
      </c>
    </row>
    <row r="355" spans="1:8" x14ac:dyDescent="0.25">
      <c r="A355" t="str" cm="1">
        <f t="array" aca="1" ref="A355" ca="1">"aN_T_2_" &amp; INDIRECT("F" &amp; ROW(C355)-3) &amp; "_p"</f>
        <v>aN_T_2_3_3_p</v>
      </c>
      <c r="B355">
        <v>0</v>
      </c>
      <c r="C355" t="s">
        <v>5</v>
      </c>
    </row>
    <row r="356" spans="1:8" x14ac:dyDescent="0.25">
      <c r="A356" t="str" cm="1">
        <f t="array" aca="1" ref="A356" ca="1">"aN_T_3_" &amp; INDIRECT("F" &amp; ROW(C356)-4) &amp; "_p"</f>
        <v>aN_T_3_3_3_p</v>
      </c>
      <c r="B356">
        <v>2</v>
      </c>
      <c r="C356" t="s">
        <v>6</v>
      </c>
    </row>
    <row r="357" spans="1:8" x14ac:dyDescent="0.25">
      <c r="A357" s="5" t="s">
        <v>8</v>
      </c>
    </row>
    <row r="358" spans="1:8" x14ac:dyDescent="0.25">
      <c r="A358" t="str" cm="1">
        <f t="array" aca="1" ref="A358" ca="1">"aN_WS_1_" &amp; INDIRECT("F" &amp; ROW(C358)-6) &amp; "_p"</f>
        <v>aN_WS_1_3_3_p</v>
      </c>
      <c r="B358">
        <v>0</v>
      </c>
      <c r="C358" t="s">
        <v>4</v>
      </c>
    </row>
    <row r="359" spans="1:8" x14ac:dyDescent="0.25">
      <c r="A359" t="str" cm="1">
        <f t="array" aca="1" ref="A359" ca="1">"aN_WS_2_" &amp; INDIRECT("F" &amp; ROW(C359)-7) &amp; "_p"</f>
        <v>aN_WS_2_3_3_p</v>
      </c>
      <c r="B359">
        <v>0</v>
      </c>
      <c r="C359" t="s">
        <v>5</v>
      </c>
    </row>
    <row r="360" spans="1:8" x14ac:dyDescent="0.25">
      <c r="A360" t="str" cm="1">
        <f t="array" aca="1" ref="A360" ca="1">"aN_WS_3_" &amp; INDIRECT("F" &amp; ROW(C360)-8) &amp; "_p"</f>
        <v>aN_WS_3_3_3_p</v>
      </c>
      <c r="B360">
        <v>2</v>
      </c>
      <c r="C360" t="s">
        <v>6</v>
      </c>
    </row>
    <row r="361" spans="1:8" x14ac:dyDescent="0.25">
      <c r="A361" s="5" t="s">
        <v>7</v>
      </c>
      <c r="F361" s="27"/>
      <c r="G361" s="27"/>
      <c r="H361" s="27"/>
    </row>
    <row r="362" spans="1:8" x14ac:dyDescent="0.25">
      <c r="A362" t="str" cm="1">
        <f t="array" aca="1" ref="A362" ca="1">"aN_PREC_1_" &amp; INDIRECT("F" &amp; ROW(C362) - 10) &amp; "_p"</f>
        <v>aN_PREC_1_3_3_p</v>
      </c>
      <c r="B362">
        <v>0</v>
      </c>
      <c r="C362" t="s">
        <v>4</v>
      </c>
    </row>
    <row r="363" spans="1:8" x14ac:dyDescent="0.25">
      <c r="A363" t="str" cm="1">
        <f t="array" aca="1" ref="A363" ca="1">"aN_PREC_2_" &amp; INDIRECT("F" &amp; ROW(C363) - 11) &amp; "_p"</f>
        <v>aN_PREC_2_3_3_p</v>
      </c>
      <c r="B363">
        <v>0</v>
      </c>
      <c r="C363" t="s">
        <v>5</v>
      </c>
    </row>
    <row r="364" spans="1:8" x14ac:dyDescent="0.25">
      <c r="A364" t="str" cm="1">
        <f t="array" aca="1" ref="A364" ca="1">"aN_PREC_3_" &amp; INDIRECT("F" &amp; ROW(C364) - 12) &amp; "_p"</f>
        <v>aN_PREC_3_3_3_p</v>
      </c>
      <c r="B364">
        <v>2</v>
      </c>
      <c r="C364" t="s">
        <v>6</v>
      </c>
    </row>
    <row r="365" spans="1:8" x14ac:dyDescent="0.25">
      <c r="A365" s="5" t="s">
        <v>9</v>
      </c>
      <c r="F365" s="27"/>
      <c r="G365" s="27"/>
      <c r="H365" s="27"/>
    </row>
    <row r="366" spans="1:8" x14ac:dyDescent="0.25">
      <c r="A366" t="str" cm="1">
        <f t="array" aca="1" ref="A366" ca="1">"aN_SL_1_" &amp; INDIRECT("F" &amp; ROW(C366) - 14) &amp; "_p"</f>
        <v>aN_SL_1_3_3_p</v>
      </c>
      <c r="B366">
        <v>0</v>
      </c>
      <c r="C366" t="s">
        <v>4</v>
      </c>
    </row>
    <row r="367" spans="1:8" x14ac:dyDescent="0.25">
      <c r="A367" t="str" cm="1">
        <f t="array" aca="1" ref="A367" ca="1">"aN_SL_2_" &amp; INDIRECT("F" &amp; ROW(C367) - 15) &amp; "_p"</f>
        <v>aN_SL_2_3_3_p</v>
      </c>
      <c r="B367">
        <v>0</v>
      </c>
      <c r="C367" t="s">
        <v>5</v>
      </c>
    </row>
    <row r="368" spans="1:8" x14ac:dyDescent="0.25">
      <c r="A368" t="str" cm="1">
        <f t="array" aca="1" ref="A368" ca="1">"aN_SL_3_" &amp; INDIRECT("F" &amp; ROW(C368) - 16) &amp; "_p"</f>
        <v>aN_SL_3_3_3_p</v>
      </c>
      <c r="B368">
        <v>2</v>
      </c>
      <c r="C368" t="s">
        <v>6</v>
      </c>
    </row>
    <row r="369" spans="1:6" x14ac:dyDescent="0.25">
      <c r="A369" s="5" t="s">
        <v>95</v>
      </c>
    </row>
    <row r="370" spans="1:6" x14ac:dyDescent="0.25">
      <c r="A370" t="str" cm="1">
        <f t="array" aca="1" ref="A370" ca="1">"aN_DRO_1_" &amp; INDIRECT("F" &amp; ROW(C370) - 18) &amp; "_p"</f>
        <v>aN_DRO_1_3_3_p</v>
      </c>
      <c r="B370">
        <v>0.01</v>
      </c>
      <c r="C370" t="s">
        <v>4</v>
      </c>
    </row>
    <row r="371" spans="1:6" x14ac:dyDescent="0.25">
      <c r="A371" t="str" cm="1">
        <f t="array" aca="1" ref="A371" ca="1">"aN_DRO_2_" &amp; INDIRECT("F" &amp; ROW(C371) - 19) &amp; "_p"</f>
        <v>aN_DRO_2_3_3_p</v>
      </c>
      <c r="B371">
        <v>0</v>
      </c>
      <c r="C371" t="s">
        <v>5</v>
      </c>
    </row>
    <row r="372" spans="1:6" x14ac:dyDescent="0.25">
      <c r="A372" t="str" cm="1">
        <f t="array" aca="1" ref="A372" ca="1">"aN_DRO_3_" &amp; INDIRECT("F" &amp; ROW(C372) - 20) &amp; "_p"</f>
        <v>aN_DRO_3_3_3_p</v>
      </c>
      <c r="B372">
        <v>2</v>
      </c>
      <c r="C372" t="s">
        <v>6</v>
      </c>
    </row>
    <row r="373" spans="1:6" x14ac:dyDescent="0.25">
      <c r="A373" s="5" t="s">
        <v>96</v>
      </c>
    </row>
    <row r="374" spans="1:6" x14ac:dyDescent="0.25">
      <c r="A374" t="str" cm="1">
        <f t="array" aca="1" ref="A374" ca="1">"aN_CYC_1_" &amp; INDIRECT("F" &amp; ROW(C374) - 22) &amp; "_p"</f>
        <v>aN_CYC_1_3_3_p</v>
      </c>
      <c r="B374">
        <v>0</v>
      </c>
      <c r="C374" t="s">
        <v>4</v>
      </c>
    </row>
    <row r="375" spans="1:6" x14ac:dyDescent="0.25">
      <c r="A375" t="str" cm="1">
        <f t="array" aca="1" ref="A375" ca="1">"aN_CYC_2_" &amp; INDIRECT("F" &amp; ROW(C375) - 23) &amp; "_p"</f>
        <v>aN_CYC_2_3_3_p</v>
      </c>
      <c r="B375">
        <v>0</v>
      </c>
      <c r="C375" t="s">
        <v>5</v>
      </c>
    </row>
    <row r="376" spans="1:6" x14ac:dyDescent="0.25">
      <c r="A376" t="str" cm="1">
        <f t="array" aca="1" ref="A376" ca="1">"aN_CYC_3_" &amp; INDIRECT("F" &amp; ROW(C376) - 24) &amp; "_p"</f>
        <v>aN_CYC_3_3_3_p</v>
      </c>
      <c r="B376">
        <v>2</v>
      </c>
      <c r="C376" t="s">
        <v>6</v>
      </c>
    </row>
    <row r="377" spans="1:6" x14ac:dyDescent="0.25">
      <c r="A377" s="26" t="str">
        <f>"sector " &amp; D377 &amp; " and region " &amp;E377</f>
        <v>sector 3 and region 4</v>
      </c>
      <c r="B377" s="26"/>
      <c r="C377" s="26"/>
      <c r="D377" s="24">
        <v>3</v>
      </c>
      <c r="E377" s="24">
        <v>4</v>
      </c>
      <c r="F377" s="24" t="str">
        <f>D377 &amp; "_" &amp; E377</f>
        <v>3_4</v>
      </c>
    </row>
    <row r="378" spans="1:6" x14ac:dyDescent="0.25">
      <c r="A378" s="5" t="s">
        <v>3</v>
      </c>
    </row>
    <row r="379" spans="1:6" x14ac:dyDescent="0.25">
      <c r="A379" t="str" cm="1">
        <f t="array" aca="1" ref="A379" ca="1">"aN_T_1_" &amp; INDIRECT("F" &amp; ROW(C379)-2) &amp; "_p"</f>
        <v>aN_T_1_3_4_p</v>
      </c>
      <c r="B379">
        <v>0</v>
      </c>
      <c r="C379" t="s">
        <v>4</v>
      </c>
    </row>
    <row r="380" spans="1:6" x14ac:dyDescent="0.25">
      <c r="A380" t="str" cm="1">
        <f t="array" aca="1" ref="A380" ca="1">"aN_T_2_" &amp; INDIRECT("F" &amp; ROW(C380)-3) &amp; "_p"</f>
        <v>aN_T_2_3_4_p</v>
      </c>
      <c r="B380">
        <v>0</v>
      </c>
      <c r="C380" t="s">
        <v>5</v>
      </c>
    </row>
    <row r="381" spans="1:6" x14ac:dyDescent="0.25">
      <c r="A381" t="str" cm="1">
        <f t="array" aca="1" ref="A381" ca="1">"aN_T_3_" &amp; INDIRECT("F" &amp; ROW(C381)-4) &amp; "_p"</f>
        <v>aN_T_3_3_4_p</v>
      </c>
      <c r="B381">
        <v>2</v>
      </c>
      <c r="C381" t="s">
        <v>6</v>
      </c>
    </row>
    <row r="382" spans="1:6" x14ac:dyDescent="0.25">
      <c r="A382" s="5" t="s">
        <v>8</v>
      </c>
    </row>
    <row r="383" spans="1:6" x14ac:dyDescent="0.25">
      <c r="A383" t="str" cm="1">
        <f t="array" aca="1" ref="A383" ca="1">"aN_WS_1_" &amp; INDIRECT("F" &amp; ROW(C383)-6) &amp; "_p"</f>
        <v>aN_WS_1_3_4_p</v>
      </c>
      <c r="B383">
        <v>0</v>
      </c>
      <c r="C383" t="s">
        <v>4</v>
      </c>
    </row>
    <row r="384" spans="1:6" x14ac:dyDescent="0.25">
      <c r="A384" t="str" cm="1">
        <f t="array" aca="1" ref="A384" ca="1">"aN_WS_2_" &amp; INDIRECT("F" &amp; ROW(C384)-7) &amp; "_p"</f>
        <v>aN_WS_2_3_4_p</v>
      </c>
      <c r="B384">
        <v>0</v>
      </c>
      <c r="C384" t="s">
        <v>5</v>
      </c>
    </row>
    <row r="385" spans="1:8" x14ac:dyDescent="0.25">
      <c r="A385" t="str" cm="1">
        <f t="array" aca="1" ref="A385" ca="1">"aN_WS_3_" &amp; INDIRECT("F" &amp; ROW(C385)-8) &amp; "_p"</f>
        <v>aN_WS_3_3_4_p</v>
      </c>
      <c r="B385">
        <v>2</v>
      </c>
      <c r="C385" t="s">
        <v>6</v>
      </c>
    </row>
    <row r="386" spans="1:8" x14ac:dyDescent="0.25">
      <c r="A386" s="5" t="s">
        <v>7</v>
      </c>
      <c r="F386" s="27"/>
      <c r="G386" s="27"/>
      <c r="H386" s="27"/>
    </row>
    <row r="387" spans="1:8" x14ac:dyDescent="0.25">
      <c r="A387" t="str" cm="1">
        <f t="array" aca="1" ref="A387" ca="1">"aN_PREC_1_" &amp; INDIRECT("F" &amp; ROW(C387) - 10) &amp; "_p"</f>
        <v>aN_PREC_1_3_4_p</v>
      </c>
      <c r="B387">
        <v>0</v>
      </c>
      <c r="C387" t="s">
        <v>4</v>
      </c>
    </row>
    <row r="388" spans="1:8" x14ac:dyDescent="0.25">
      <c r="A388" t="str" cm="1">
        <f t="array" aca="1" ref="A388" ca="1">"aN_PREC_2_" &amp; INDIRECT("F" &amp; ROW(C388) - 11) &amp; "_p"</f>
        <v>aN_PREC_2_3_4_p</v>
      </c>
      <c r="B388">
        <v>0</v>
      </c>
      <c r="C388" t="s">
        <v>5</v>
      </c>
    </row>
    <row r="389" spans="1:8" x14ac:dyDescent="0.25">
      <c r="A389" t="str" cm="1">
        <f t="array" aca="1" ref="A389" ca="1">"aN_PREC_3_" &amp; INDIRECT("F" &amp; ROW(C389) - 12) &amp; "_p"</f>
        <v>aN_PREC_3_3_4_p</v>
      </c>
      <c r="B389">
        <v>2</v>
      </c>
      <c r="C389" t="s">
        <v>6</v>
      </c>
    </row>
    <row r="390" spans="1:8" x14ac:dyDescent="0.25">
      <c r="A390" s="5" t="s">
        <v>9</v>
      </c>
      <c r="F390" s="27"/>
      <c r="G390" s="27"/>
      <c r="H390" s="27"/>
    </row>
    <row r="391" spans="1:8" x14ac:dyDescent="0.25">
      <c r="A391" t="str" cm="1">
        <f t="array" aca="1" ref="A391" ca="1">"aN_SL_1_" &amp; INDIRECT("F" &amp; ROW(C391) - 14) &amp; "_p"</f>
        <v>aN_SL_1_3_4_p</v>
      </c>
      <c r="B391">
        <v>0</v>
      </c>
      <c r="C391" t="s">
        <v>4</v>
      </c>
    </row>
    <row r="392" spans="1:8" x14ac:dyDescent="0.25">
      <c r="A392" t="str" cm="1">
        <f t="array" aca="1" ref="A392" ca="1">"aN_SL_2_" &amp; INDIRECT("F" &amp; ROW(C392) - 15) &amp; "_p"</f>
        <v>aN_SL_2_3_4_p</v>
      </c>
      <c r="B392">
        <v>0</v>
      </c>
      <c r="C392" t="s">
        <v>5</v>
      </c>
    </row>
    <row r="393" spans="1:8" x14ac:dyDescent="0.25">
      <c r="A393" t="str" cm="1">
        <f t="array" aca="1" ref="A393" ca="1">"aN_SL_3_" &amp; INDIRECT("F" &amp; ROW(C393) - 16) &amp; "_p"</f>
        <v>aN_SL_3_3_4_p</v>
      </c>
      <c r="B393">
        <v>2</v>
      </c>
      <c r="C393" t="s">
        <v>6</v>
      </c>
    </row>
    <row r="394" spans="1:8" x14ac:dyDescent="0.25">
      <c r="A394" s="5" t="s">
        <v>95</v>
      </c>
    </row>
    <row r="395" spans="1:8" x14ac:dyDescent="0.25">
      <c r="A395" t="str" cm="1">
        <f t="array" aca="1" ref="A395" ca="1">"aN_DRO_1_" &amp; INDIRECT("F" &amp; ROW(C395) - 18) &amp; "_p"</f>
        <v>aN_DRO_1_3_4_p</v>
      </c>
      <c r="B395">
        <v>0.01</v>
      </c>
      <c r="C395" t="s">
        <v>4</v>
      </c>
    </row>
    <row r="396" spans="1:8" x14ac:dyDescent="0.25">
      <c r="A396" t="str" cm="1">
        <f t="array" aca="1" ref="A396" ca="1">"aN_DRO_2_" &amp; INDIRECT("F" &amp; ROW(C396) - 19) &amp; "_p"</f>
        <v>aN_DRO_2_3_4_p</v>
      </c>
      <c r="B396">
        <v>0</v>
      </c>
      <c r="C396" t="s">
        <v>5</v>
      </c>
    </row>
    <row r="397" spans="1:8" x14ac:dyDescent="0.25">
      <c r="A397" t="str" cm="1">
        <f t="array" aca="1" ref="A397" ca="1">"aN_DRO_3_" &amp; INDIRECT("F" &amp; ROW(C397) - 20) &amp; "_p"</f>
        <v>aN_DRO_3_3_4_p</v>
      </c>
      <c r="B397">
        <v>2</v>
      </c>
      <c r="C397" t="s">
        <v>6</v>
      </c>
    </row>
    <row r="398" spans="1:8" x14ac:dyDescent="0.25">
      <c r="A398" s="5" t="s">
        <v>96</v>
      </c>
    </row>
    <row r="399" spans="1:8" x14ac:dyDescent="0.25">
      <c r="A399" t="str" cm="1">
        <f t="array" aca="1" ref="A399" ca="1">"aN_CYC_1_" &amp; INDIRECT("F" &amp; ROW(C399) - 22) &amp; "_p"</f>
        <v>aN_CYC_1_3_4_p</v>
      </c>
      <c r="B399">
        <v>0</v>
      </c>
      <c r="C399" t="s">
        <v>4</v>
      </c>
    </row>
    <row r="400" spans="1:8" x14ac:dyDescent="0.25">
      <c r="A400" t="str" cm="1">
        <f t="array" aca="1" ref="A400" ca="1">"aN_CYC_2_" &amp; INDIRECT("F" &amp; ROW(C400) - 23) &amp; "_p"</f>
        <v>aN_CYC_2_3_4_p</v>
      </c>
      <c r="B400">
        <v>0</v>
      </c>
      <c r="C400" t="s">
        <v>5</v>
      </c>
    </row>
    <row r="401" spans="1:8" x14ac:dyDescent="0.25">
      <c r="A401" t="str" cm="1">
        <f t="array" aca="1" ref="A401" ca="1">"aN_CYC_3_" &amp; INDIRECT("F" &amp; ROW(C401) - 24) &amp; "_p"</f>
        <v>aN_CYC_3_3_4_p</v>
      </c>
      <c r="B401">
        <v>2</v>
      </c>
      <c r="C401" t="s">
        <v>6</v>
      </c>
    </row>
    <row r="402" spans="1:8" x14ac:dyDescent="0.25">
      <c r="A402" s="26" t="str">
        <f>"sector " &amp; D402 &amp; " and region " &amp;E402</f>
        <v>sector 3 and region 5</v>
      </c>
      <c r="B402" s="26"/>
      <c r="C402" s="26"/>
      <c r="D402" s="24">
        <v>3</v>
      </c>
      <c r="E402" s="24">
        <v>5</v>
      </c>
      <c r="F402" s="24" t="str">
        <f>D402 &amp; "_" &amp; E402</f>
        <v>3_5</v>
      </c>
    </row>
    <row r="403" spans="1:8" x14ac:dyDescent="0.25">
      <c r="A403" s="5" t="s">
        <v>3</v>
      </c>
    </row>
    <row r="404" spans="1:8" x14ac:dyDescent="0.25">
      <c r="A404" t="str" cm="1">
        <f t="array" aca="1" ref="A404" ca="1">"aN_T_1_" &amp; INDIRECT("F" &amp; ROW(C404)-2) &amp; "_p"</f>
        <v>aN_T_1_3_5_p</v>
      </c>
      <c r="B404">
        <v>0</v>
      </c>
      <c r="C404" t="s">
        <v>4</v>
      </c>
    </row>
    <row r="405" spans="1:8" x14ac:dyDescent="0.25">
      <c r="A405" t="str" cm="1">
        <f t="array" aca="1" ref="A405" ca="1">"aN_T_2_" &amp; INDIRECT("F" &amp; ROW(C405)-3) &amp; "_p"</f>
        <v>aN_T_2_3_5_p</v>
      </c>
      <c r="B405">
        <v>0</v>
      </c>
      <c r="C405" t="s">
        <v>5</v>
      </c>
    </row>
    <row r="406" spans="1:8" x14ac:dyDescent="0.25">
      <c r="A406" t="str" cm="1">
        <f t="array" aca="1" ref="A406" ca="1">"aN_T_3_" &amp; INDIRECT("F" &amp; ROW(C406)-4) &amp; "_p"</f>
        <v>aN_T_3_3_5_p</v>
      </c>
      <c r="B406">
        <v>2</v>
      </c>
      <c r="C406" t="s">
        <v>6</v>
      </c>
    </row>
    <row r="407" spans="1:8" x14ac:dyDescent="0.25">
      <c r="A407" s="5" t="s">
        <v>8</v>
      </c>
    </row>
    <row r="408" spans="1:8" x14ac:dyDescent="0.25">
      <c r="A408" t="str" cm="1">
        <f t="array" aca="1" ref="A408" ca="1">"aN_WS_1_" &amp; INDIRECT("F" &amp; ROW(C408)-6) &amp; "_p"</f>
        <v>aN_WS_1_3_5_p</v>
      </c>
      <c r="B408">
        <v>0</v>
      </c>
      <c r="C408" t="s">
        <v>4</v>
      </c>
    </row>
    <row r="409" spans="1:8" x14ac:dyDescent="0.25">
      <c r="A409" t="str" cm="1">
        <f t="array" aca="1" ref="A409" ca="1">"aN_WS_2_" &amp; INDIRECT("F" &amp; ROW(C409)-7) &amp; "_p"</f>
        <v>aN_WS_2_3_5_p</v>
      </c>
      <c r="B409">
        <v>0</v>
      </c>
      <c r="C409" t="s">
        <v>5</v>
      </c>
    </row>
    <row r="410" spans="1:8" x14ac:dyDescent="0.25">
      <c r="A410" t="str" cm="1">
        <f t="array" aca="1" ref="A410" ca="1">"aN_WS_3_" &amp; INDIRECT("F" &amp; ROW(C410)-8) &amp; "_p"</f>
        <v>aN_WS_3_3_5_p</v>
      </c>
      <c r="B410">
        <v>2</v>
      </c>
      <c r="C410" t="s">
        <v>6</v>
      </c>
    </row>
    <row r="411" spans="1:8" x14ac:dyDescent="0.25">
      <c r="A411" s="5" t="s">
        <v>7</v>
      </c>
      <c r="F411" s="27"/>
      <c r="G411" s="27"/>
      <c r="H411" s="27"/>
    </row>
    <row r="412" spans="1:8" x14ac:dyDescent="0.25">
      <c r="A412" t="str" cm="1">
        <f t="array" aca="1" ref="A412" ca="1">"aN_PREC_1_" &amp; INDIRECT("F" &amp; ROW(C412) - 10) &amp; "_p"</f>
        <v>aN_PREC_1_3_5_p</v>
      </c>
      <c r="B412">
        <v>0</v>
      </c>
      <c r="C412" t="s">
        <v>4</v>
      </c>
    </row>
    <row r="413" spans="1:8" x14ac:dyDescent="0.25">
      <c r="A413" t="str" cm="1">
        <f t="array" aca="1" ref="A413" ca="1">"aN_PREC_2_" &amp; INDIRECT("F" &amp; ROW(C413) - 11) &amp; "_p"</f>
        <v>aN_PREC_2_3_5_p</v>
      </c>
      <c r="B413">
        <v>0</v>
      </c>
      <c r="C413" t="s">
        <v>5</v>
      </c>
    </row>
    <row r="414" spans="1:8" x14ac:dyDescent="0.25">
      <c r="A414" t="str" cm="1">
        <f t="array" aca="1" ref="A414" ca="1">"aN_PREC_3_" &amp; INDIRECT("F" &amp; ROW(C414) - 12) &amp; "_p"</f>
        <v>aN_PREC_3_3_5_p</v>
      </c>
      <c r="B414">
        <v>2</v>
      </c>
      <c r="C414" t="s">
        <v>6</v>
      </c>
    </row>
    <row r="415" spans="1:8" x14ac:dyDescent="0.25">
      <c r="A415" s="5" t="s">
        <v>9</v>
      </c>
      <c r="F415" s="27"/>
      <c r="G415" s="27"/>
      <c r="H415" s="27"/>
    </row>
    <row r="416" spans="1:8" x14ac:dyDescent="0.25">
      <c r="A416" t="str" cm="1">
        <f t="array" aca="1" ref="A416" ca="1">"aN_SL_1_" &amp; INDIRECT("F" &amp; ROW(C416) - 14) &amp; "_p"</f>
        <v>aN_SL_1_3_5_p</v>
      </c>
      <c r="B416">
        <v>0</v>
      </c>
      <c r="C416" t="s">
        <v>4</v>
      </c>
    </row>
    <row r="417" spans="1:6" x14ac:dyDescent="0.25">
      <c r="A417" t="str" cm="1">
        <f t="array" aca="1" ref="A417" ca="1">"aN_SL_2_" &amp; INDIRECT("F" &amp; ROW(C417) - 15) &amp; "_p"</f>
        <v>aN_SL_2_3_5_p</v>
      </c>
      <c r="B417">
        <v>0</v>
      </c>
      <c r="C417" t="s">
        <v>5</v>
      </c>
    </row>
    <row r="418" spans="1:6" x14ac:dyDescent="0.25">
      <c r="A418" t="str" cm="1">
        <f t="array" aca="1" ref="A418" ca="1">"aN_SL_3_" &amp; INDIRECT("F" &amp; ROW(C418) - 16) &amp; "_p"</f>
        <v>aN_SL_3_3_5_p</v>
      </c>
      <c r="B418">
        <v>2</v>
      </c>
      <c r="C418" t="s">
        <v>6</v>
      </c>
    </row>
    <row r="419" spans="1:6" x14ac:dyDescent="0.25">
      <c r="A419" s="5" t="s">
        <v>95</v>
      </c>
    </row>
    <row r="420" spans="1:6" x14ac:dyDescent="0.25">
      <c r="A420" t="str" cm="1">
        <f t="array" aca="1" ref="A420" ca="1">"aN_DRO_1_" &amp; INDIRECT("F" &amp; ROW(C420) - 18) &amp; "_p"</f>
        <v>aN_DRO_1_3_5_p</v>
      </c>
      <c r="B420">
        <v>0.01</v>
      </c>
      <c r="C420" t="s">
        <v>4</v>
      </c>
    </row>
    <row r="421" spans="1:6" x14ac:dyDescent="0.25">
      <c r="A421" t="str" cm="1">
        <f t="array" aca="1" ref="A421" ca="1">"aN_DRO_2_" &amp; INDIRECT("F" &amp; ROW(C421) - 19) &amp; "_p"</f>
        <v>aN_DRO_2_3_5_p</v>
      </c>
      <c r="B421">
        <v>0</v>
      </c>
      <c r="C421" t="s">
        <v>5</v>
      </c>
    </row>
    <row r="422" spans="1:6" x14ac:dyDescent="0.25">
      <c r="A422" t="str" cm="1">
        <f t="array" aca="1" ref="A422" ca="1">"aN_DRO_3_" &amp; INDIRECT("F" &amp; ROW(C422) - 20) &amp; "_p"</f>
        <v>aN_DRO_3_3_5_p</v>
      </c>
      <c r="B422">
        <v>2</v>
      </c>
      <c r="C422" t="s">
        <v>6</v>
      </c>
    </row>
    <row r="423" spans="1:6" x14ac:dyDescent="0.25">
      <c r="A423" s="5" t="s">
        <v>96</v>
      </c>
    </row>
    <row r="424" spans="1:6" x14ac:dyDescent="0.25">
      <c r="A424" t="str" cm="1">
        <f t="array" aca="1" ref="A424" ca="1">"aN_CYC_1_" &amp; INDIRECT("F" &amp; ROW(C424) - 22) &amp; "_p"</f>
        <v>aN_CYC_1_3_5_p</v>
      </c>
      <c r="B424">
        <v>0</v>
      </c>
      <c r="C424" t="s">
        <v>4</v>
      </c>
    </row>
    <row r="425" spans="1:6" x14ac:dyDescent="0.25">
      <c r="A425" t="str" cm="1">
        <f t="array" aca="1" ref="A425" ca="1">"aN_CYC_2_" &amp; INDIRECT("F" &amp; ROW(C425) - 23) &amp; "_p"</f>
        <v>aN_CYC_2_3_5_p</v>
      </c>
      <c r="B425">
        <v>0</v>
      </c>
      <c r="C425" t="s">
        <v>5</v>
      </c>
    </row>
    <row r="426" spans="1:6" x14ac:dyDescent="0.25">
      <c r="A426" t="str" cm="1">
        <f t="array" aca="1" ref="A426" ca="1">"aN_CYC_3_" &amp; INDIRECT("F" &amp; ROW(C426) - 24) &amp; "_p"</f>
        <v>aN_CYC_3_3_5_p</v>
      </c>
      <c r="B426">
        <v>2</v>
      </c>
      <c r="C426" t="s">
        <v>6</v>
      </c>
    </row>
    <row r="427" spans="1:6" x14ac:dyDescent="0.25">
      <c r="A427" s="26" t="str">
        <f>"sector " &amp; D427 &amp; " and region " &amp;E427</f>
        <v>sector 3 and region 6</v>
      </c>
      <c r="B427" s="26"/>
      <c r="C427" s="26"/>
      <c r="D427" s="24">
        <v>3</v>
      </c>
      <c r="E427" s="24">
        <v>6</v>
      </c>
      <c r="F427" s="24" t="str">
        <f>D427 &amp; "_" &amp; E427</f>
        <v>3_6</v>
      </c>
    </row>
    <row r="428" spans="1:6" x14ac:dyDescent="0.25">
      <c r="A428" s="5" t="s">
        <v>3</v>
      </c>
    </row>
    <row r="429" spans="1:6" x14ac:dyDescent="0.25">
      <c r="A429" t="str" cm="1">
        <f t="array" aca="1" ref="A429" ca="1">"aN_T_1_" &amp; INDIRECT("F" &amp; ROW(C429)-2) &amp; "_p"</f>
        <v>aN_T_1_3_6_p</v>
      </c>
      <c r="B429">
        <v>0</v>
      </c>
      <c r="C429" t="s">
        <v>4</v>
      </c>
    </row>
    <row r="430" spans="1:6" x14ac:dyDescent="0.25">
      <c r="A430" t="str" cm="1">
        <f t="array" aca="1" ref="A430" ca="1">"aN_T_2_" &amp; INDIRECT("F" &amp; ROW(C430)-3) &amp; "_p"</f>
        <v>aN_T_2_3_6_p</v>
      </c>
      <c r="B430">
        <v>0</v>
      </c>
      <c r="C430" t="s">
        <v>5</v>
      </c>
    </row>
    <row r="431" spans="1:6" x14ac:dyDescent="0.25">
      <c r="A431" t="str" cm="1">
        <f t="array" aca="1" ref="A431" ca="1">"aN_T_3_" &amp; INDIRECT("F" &amp; ROW(C431)-4) &amp; "_p"</f>
        <v>aN_T_3_3_6_p</v>
      </c>
      <c r="B431">
        <v>2</v>
      </c>
      <c r="C431" t="s">
        <v>6</v>
      </c>
    </row>
    <row r="432" spans="1:6" x14ac:dyDescent="0.25">
      <c r="A432" s="5" t="s">
        <v>8</v>
      </c>
    </row>
    <row r="433" spans="1:8" x14ac:dyDescent="0.25">
      <c r="A433" t="str" cm="1">
        <f t="array" aca="1" ref="A433" ca="1">"aN_WS_1_" &amp; INDIRECT("F" &amp; ROW(C433)-6) &amp; "_p"</f>
        <v>aN_WS_1_3_6_p</v>
      </c>
      <c r="B433">
        <v>0</v>
      </c>
      <c r="C433" t="s">
        <v>4</v>
      </c>
    </row>
    <row r="434" spans="1:8" x14ac:dyDescent="0.25">
      <c r="A434" t="str" cm="1">
        <f t="array" aca="1" ref="A434" ca="1">"aN_WS_2_" &amp; INDIRECT("F" &amp; ROW(C434)-7) &amp; "_p"</f>
        <v>aN_WS_2_3_6_p</v>
      </c>
      <c r="B434">
        <v>0</v>
      </c>
      <c r="C434" t="s">
        <v>5</v>
      </c>
    </row>
    <row r="435" spans="1:8" x14ac:dyDescent="0.25">
      <c r="A435" t="str" cm="1">
        <f t="array" aca="1" ref="A435" ca="1">"aN_WS_3_" &amp; INDIRECT("F" &amp; ROW(C435)-8) &amp; "_p"</f>
        <v>aN_WS_3_3_6_p</v>
      </c>
      <c r="B435">
        <v>2</v>
      </c>
      <c r="C435" t="s">
        <v>6</v>
      </c>
    </row>
    <row r="436" spans="1:8" x14ac:dyDescent="0.25">
      <c r="A436" s="5" t="s">
        <v>7</v>
      </c>
      <c r="F436" s="27"/>
      <c r="G436" s="27"/>
      <c r="H436" s="27"/>
    </row>
    <row r="437" spans="1:8" x14ac:dyDescent="0.25">
      <c r="A437" t="str" cm="1">
        <f t="array" aca="1" ref="A437" ca="1">"aN_PREC_1_" &amp; INDIRECT("F" &amp; ROW(C437) - 10) &amp; "_p"</f>
        <v>aN_PREC_1_3_6_p</v>
      </c>
      <c r="B437">
        <v>0</v>
      </c>
      <c r="C437" t="s">
        <v>4</v>
      </c>
    </row>
    <row r="438" spans="1:8" x14ac:dyDescent="0.25">
      <c r="A438" t="str" cm="1">
        <f t="array" aca="1" ref="A438" ca="1">"aN_PREC_2_" &amp; INDIRECT("F" &amp; ROW(C438) - 11) &amp; "_p"</f>
        <v>aN_PREC_2_3_6_p</v>
      </c>
      <c r="B438">
        <v>0</v>
      </c>
      <c r="C438" t="s">
        <v>5</v>
      </c>
    </row>
    <row r="439" spans="1:8" x14ac:dyDescent="0.25">
      <c r="A439" t="str" cm="1">
        <f t="array" aca="1" ref="A439" ca="1">"aN_PREC_3_" &amp; INDIRECT("F" &amp; ROW(C439) - 12) &amp; "_p"</f>
        <v>aN_PREC_3_3_6_p</v>
      </c>
      <c r="B439">
        <v>2</v>
      </c>
      <c r="C439" t="s">
        <v>6</v>
      </c>
    </row>
    <row r="440" spans="1:8" x14ac:dyDescent="0.25">
      <c r="A440" s="5" t="s">
        <v>9</v>
      </c>
      <c r="F440" s="27"/>
      <c r="G440" s="27"/>
      <c r="H440" s="27"/>
    </row>
    <row r="441" spans="1:8" x14ac:dyDescent="0.25">
      <c r="A441" t="str" cm="1">
        <f t="array" aca="1" ref="A441" ca="1">"aN_SL_1_" &amp; INDIRECT("F" &amp; ROW(C441) - 14) &amp; "_p"</f>
        <v>aN_SL_1_3_6_p</v>
      </c>
      <c r="B441">
        <v>0</v>
      </c>
      <c r="C441" t="s">
        <v>4</v>
      </c>
    </row>
    <row r="442" spans="1:8" x14ac:dyDescent="0.25">
      <c r="A442" t="str" cm="1">
        <f t="array" aca="1" ref="A442" ca="1">"aN_SL_2_" &amp; INDIRECT("F" &amp; ROW(C442) - 15) &amp; "_p"</f>
        <v>aN_SL_2_3_6_p</v>
      </c>
      <c r="B442">
        <v>0</v>
      </c>
      <c r="C442" t="s">
        <v>5</v>
      </c>
    </row>
    <row r="443" spans="1:8" x14ac:dyDescent="0.25">
      <c r="A443" t="str" cm="1">
        <f t="array" aca="1" ref="A443" ca="1">"aN_SL_3_" &amp; INDIRECT("F" &amp; ROW(C443) - 16) &amp; "_p"</f>
        <v>aN_SL_3_3_6_p</v>
      </c>
      <c r="B443">
        <v>2</v>
      </c>
      <c r="C443" t="s">
        <v>6</v>
      </c>
    </row>
    <row r="444" spans="1:8" x14ac:dyDescent="0.25">
      <c r="A444" s="5" t="s">
        <v>95</v>
      </c>
    </row>
    <row r="445" spans="1:8" x14ac:dyDescent="0.25">
      <c r="A445" t="str" cm="1">
        <f t="array" aca="1" ref="A445" ca="1">"aN_DRO_1_" &amp; INDIRECT("F" &amp; ROW(C445) - 18) &amp; "_p"</f>
        <v>aN_DRO_1_3_6_p</v>
      </c>
      <c r="B445">
        <v>0.01</v>
      </c>
      <c r="C445" t="s">
        <v>4</v>
      </c>
    </row>
    <row r="446" spans="1:8" x14ac:dyDescent="0.25">
      <c r="A446" t="str" cm="1">
        <f t="array" aca="1" ref="A446" ca="1">"aN_DRO_2_" &amp; INDIRECT("F" &amp; ROW(C446) - 19) &amp; "_p"</f>
        <v>aN_DRO_2_3_6_p</v>
      </c>
      <c r="B446">
        <v>0</v>
      </c>
      <c r="C446" t="s">
        <v>5</v>
      </c>
    </row>
    <row r="447" spans="1:8" x14ac:dyDescent="0.25">
      <c r="A447" t="str" cm="1">
        <f t="array" aca="1" ref="A447" ca="1">"aN_DRO_3_" &amp; INDIRECT("F" &amp; ROW(C447) - 20) &amp; "_p"</f>
        <v>aN_DRO_3_3_6_p</v>
      </c>
      <c r="B447">
        <v>2</v>
      </c>
      <c r="C447" t="s">
        <v>6</v>
      </c>
    </row>
    <row r="448" spans="1:8" x14ac:dyDescent="0.25">
      <c r="A448" s="5" t="s">
        <v>96</v>
      </c>
    </row>
    <row r="449" spans="1:8" x14ac:dyDescent="0.25">
      <c r="A449" t="str" cm="1">
        <f t="array" aca="1" ref="A449" ca="1">"aN_CYC_1_" &amp; INDIRECT("F" &amp; ROW(C449) - 22) &amp; "_p"</f>
        <v>aN_CYC_1_3_6_p</v>
      </c>
      <c r="B449">
        <v>0</v>
      </c>
      <c r="C449" t="s">
        <v>4</v>
      </c>
    </row>
    <row r="450" spans="1:8" x14ac:dyDescent="0.25">
      <c r="A450" t="str" cm="1">
        <f t="array" aca="1" ref="A450" ca="1">"aN_CYC_2_" &amp; INDIRECT("F" &amp; ROW(C450) - 23) &amp; "_p"</f>
        <v>aN_CYC_2_3_6_p</v>
      </c>
      <c r="B450">
        <v>0</v>
      </c>
      <c r="C450" t="s">
        <v>5</v>
      </c>
    </row>
    <row r="451" spans="1:8" x14ac:dyDescent="0.25">
      <c r="A451" t="str" cm="1">
        <f t="array" aca="1" ref="A451" ca="1">"aN_CYC_3_" &amp; INDIRECT("F" &amp; ROW(C451) - 24) &amp; "_p"</f>
        <v>aN_CYC_3_3_6_p</v>
      </c>
      <c r="B451">
        <v>2</v>
      </c>
      <c r="C451" t="s">
        <v>6</v>
      </c>
    </row>
    <row r="452" spans="1:8" x14ac:dyDescent="0.25">
      <c r="A452" s="26" t="str">
        <f>"sector " &amp; D452 &amp; " and region " &amp;E452</f>
        <v>sector 4 and region 1</v>
      </c>
      <c r="B452" s="26"/>
      <c r="C452" s="26"/>
      <c r="D452" s="24">
        <v>4</v>
      </c>
      <c r="E452" s="24">
        <v>1</v>
      </c>
      <c r="F452" s="24" t="str">
        <f>D452 &amp; "_" &amp; E452</f>
        <v>4_1</v>
      </c>
    </row>
    <row r="453" spans="1:8" x14ac:dyDescent="0.25">
      <c r="A453" s="5" t="s">
        <v>3</v>
      </c>
    </row>
    <row r="454" spans="1:8" x14ac:dyDescent="0.25">
      <c r="A454" t="str" cm="1">
        <f t="array" aca="1" ref="A454" ca="1">"aN_T_1_" &amp; INDIRECT("F" &amp; ROW(C454)-2) &amp; "_p"</f>
        <v>aN_T_1_4_1_p</v>
      </c>
      <c r="B454">
        <v>0</v>
      </c>
      <c r="C454" t="s">
        <v>4</v>
      </c>
    </row>
    <row r="455" spans="1:8" x14ac:dyDescent="0.25">
      <c r="A455" t="str" cm="1">
        <f t="array" aca="1" ref="A455" ca="1">"aN_T_2_" &amp; INDIRECT("F" &amp; ROW(C455)-3) &amp; "_p"</f>
        <v>aN_T_2_4_1_p</v>
      </c>
      <c r="B455">
        <v>0</v>
      </c>
      <c r="C455" t="s">
        <v>5</v>
      </c>
    </row>
    <row r="456" spans="1:8" x14ac:dyDescent="0.25">
      <c r="A456" t="str" cm="1">
        <f t="array" aca="1" ref="A456" ca="1">"aN_T_3_" &amp; INDIRECT("F" &amp; ROW(C456)-4) &amp; "_p"</f>
        <v>aN_T_3_4_1_p</v>
      </c>
      <c r="B456">
        <v>2</v>
      </c>
      <c r="C456" t="s">
        <v>6</v>
      </c>
    </row>
    <row r="457" spans="1:8" x14ac:dyDescent="0.25">
      <c r="A457" s="5" t="s">
        <v>8</v>
      </c>
    </row>
    <row r="458" spans="1:8" x14ac:dyDescent="0.25">
      <c r="A458" t="str" cm="1">
        <f t="array" aca="1" ref="A458" ca="1">"aN_WS_1_" &amp; INDIRECT("F" &amp; ROW(C458)-6) &amp; "_p"</f>
        <v>aN_WS_1_4_1_p</v>
      </c>
      <c r="B458">
        <v>0</v>
      </c>
      <c r="C458" t="s">
        <v>4</v>
      </c>
    </row>
    <row r="459" spans="1:8" x14ac:dyDescent="0.25">
      <c r="A459" t="str" cm="1">
        <f t="array" aca="1" ref="A459" ca="1">"aN_WS_2_" &amp; INDIRECT("F" &amp; ROW(C459)-7) &amp; "_p"</f>
        <v>aN_WS_2_4_1_p</v>
      </c>
      <c r="B459">
        <v>0</v>
      </c>
      <c r="C459" t="s">
        <v>5</v>
      </c>
    </row>
    <row r="460" spans="1:8" x14ac:dyDescent="0.25">
      <c r="A460" t="str" cm="1">
        <f t="array" aca="1" ref="A460" ca="1">"aN_WS_3_" &amp; INDIRECT("F" &amp; ROW(C460)-8) &amp; "_p"</f>
        <v>aN_WS_3_4_1_p</v>
      </c>
      <c r="B460">
        <v>2</v>
      </c>
      <c r="C460" t="s">
        <v>6</v>
      </c>
    </row>
    <row r="461" spans="1:8" x14ac:dyDescent="0.25">
      <c r="A461" s="5" t="s">
        <v>7</v>
      </c>
      <c r="F461" s="27"/>
      <c r="G461" s="27"/>
      <c r="H461" s="27"/>
    </row>
    <row r="462" spans="1:8" x14ac:dyDescent="0.25">
      <c r="A462" t="str" cm="1">
        <f t="array" aca="1" ref="A462" ca="1">"aN_PREC_1_" &amp; INDIRECT("F" &amp; ROW(C462) - 10) &amp; "_p"</f>
        <v>aN_PREC_1_4_1_p</v>
      </c>
      <c r="B462">
        <v>0</v>
      </c>
      <c r="C462" t="s">
        <v>4</v>
      </c>
    </row>
    <row r="463" spans="1:8" x14ac:dyDescent="0.25">
      <c r="A463" t="str" cm="1">
        <f t="array" aca="1" ref="A463" ca="1">"aN_PREC_2_" &amp; INDIRECT("F" &amp; ROW(C463) - 11) &amp; "_p"</f>
        <v>aN_PREC_2_4_1_p</v>
      </c>
      <c r="B463">
        <v>0</v>
      </c>
      <c r="C463" t="s">
        <v>5</v>
      </c>
    </row>
    <row r="464" spans="1:8" x14ac:dyDescent="0.25">
      <c r="A464" t="str" cm="1">
        <f t="array" aca="1" ref="A464" ca="1">"aN_PREC_3_" &amp; INDIRECT("F" &amp; ROW(C464) - 12) &amp; "_p"</f>
        <v>aN_PREC_3_4_1_p</v>
      </c>
      <c r="B464">
        <v>2</v>
      </c>
      <c r="C464" t="s">
        <v>6</v>
      </c>
    </row>
    <row r="465" spans="1:8" x14ac:dyDescent="0.25">
      <c r="A465" s="5" t="s">
        <v>9</v>
      </c>
      <c r="F465" s="27"/>
      <c r="G465" s="27"/>
      <c r="H465" s="27"/>
    </row>
    <row r="466" spans="1:8" x14ac:dyDescent="0.25">
      <c r="A466" t="str" cm="1">
        <f t="array" aca="1" ref="A466" ca="1">"aN_SL_1_" &amp; INDIRECT("F" &amp; ROW(C466) - 14) &amp; "_p"</f>
        <v>aN_SL_1_4_1_p</v>
      </c>
      <c r="B466">
        <v>0</v>
      </c>
      <c r="C466" t="s">
        <v>4</v>
      </c>
    </row>
    <row r="467" spans="1:8" x14ac:dyDescent="0.25">
      <c r="A467" t="str" cm="1">
        <f t="array" aca="1" ref="A467" ca="1">"aN_SL_2_" &amp; INDIRECT("F" &amp; ROW(C467) - 15) &amp; "_p"</f>
        <v>aN_SL_2_4_1_p</v>
      </c>
      <c r="B467">
        <v>0</v>
      </c>
      <c r="C467" t="s">
        <v>5</v>
      </c>
    </row>
    <row r="468" spans="1:8" x14ac:dyDescent="0.25">
      <c r="A468" t="str" cm="1">
        <f t="array" aca="1" ref="A468" ca="1">"aN_SL_3_" &amp; INDIRECT("F" &amp; ROW(C468) - 16) &amp; "_p"</f>
        <v>aN_SL_3_4_1_p</v>
      </c>
      <c r="B468">
        <v>2</v>
      </c>
      <c r="C468" t="s">
        <v>6</v>
      </c>
    </row>
    <row r="469" spans="1:8" x14ac:dyDescent="0.25">
      <c r="A469" s="5" t="s">
        <v>95</v>
      </c>
    </row>
    <row r="470" spans="1:8" x14ac:dyDescent="0.25">
      <c r="A470" t="str" cm="1">
        <f t="array" aca="1" ref="A470" ca="1">"aN_DRO_1_" &amp; INDIRECT("F" &amp; ROW(C470) - 18) &amp; "_p"</f>
        <v>aN_DRO_1_4_1_p</v>
      </c>
      <c r="B470">
        <v>0.01</v>
      </c>
      <c r="C470" t="s">
        <v>4</v>
      </c>
    </row>
    <row r="471" spans="1:8" x14ac:dyDescent="0.25">
      <c r="A471" t="str" cm="1">
        <f t="array" aca="1" ref="A471" ca="1">"aN_DRO_2_" &amp; INDIRECT("F" &amp; ROW(C471) - 19) &amp; "_p"</f>
        <v>aN_DRO_2_4_1_p</v>
      </c>
      <c r="B471">
        <v>0</v>
      </c>
      <c r="C471" t="s">
        <v>5</v>
      </c>
    </row>
    <row r="472" spans="1:8" x14ac:dyDescent="0.25">
      <c r="A472" t="str" cm="1">
        <f t="array" aca="1" ref="A472" ca="1">"aN_DRO_3_" &amp; INDIRECT("F" &amp; ROW(C472) - 20) &amp; "_p"</f>
        <v>aN_DRO_3_4_1_p</v>
      </c>
      <c r="B472">
        <v>2</v>
      </c>
      <c r="C472" t="s">
        <v>6</v>
      </c>
    </row>
    <row r="473" spans="1:8" x14ac:dyDescent="0.25">
      <c r="A473" s="5" t="s">
        <v>96</v>
      </c>
    </row>
    <row r="474" spans="1:8" x14ac:dyDescent="0.25">
      <c r="A474" t="str" cm="1">
        <f t="array" aca="1" ref="A474" ca="1">"aN_CYC_1_" &amp; INDIRECT("F" &amp; ROW(C474) - 22) &amp; "_p"</f>
        <v>aN_CYC_1_4_1_p</v>
      </c>
      <c r="B474">
        <v>0</v>
      </c>
      <c r="C474" t="s">
        <v>4</v>
      </c>
    </row>
    <row r="475" spans="1:8" x14ac:dyDescent="0.25">
      <c r="A475" t="str" cm="1">
        <f t="array" aca="1" ref="A475" ca="1">"aN_CYC_2_" &amp; INDIRECT("F" &amp; ROW(C475) - 23) &amp; "_p"</f>
        <v>aN_CYC_2_4_1_p</v>
      </c>
      <c r="B475">
        <v>0</v>
      </c>
      <c r="C475" t="s">
        <v>5</v>
      </c>
    </row>
    <row r="476" spans="1:8" x14ac:dyDescent="0.25">
      <c r="A476" t="str" cm="1">
        <f t="array" aca="1" ref="A476" ca="1">"aN_CYC_3_" &amp; INDIRECT("F" &amp; ROW(C476) - 24) &amp; "_p"</f>
        <v>aN_CYC_3_4_1_p</v>
      </c>
      <c r="B476">
        <v>2</v>
      </c>
      <c r="C476" t="s">
        <v>6</v>
      </c>
    </row>
    <row r="477" spans="1:8" x14ac:dyDescent="0.25">
      <c r="A477" s="26" t="str">
        <f>"sector " &amp; D477 &amp; " and region " &amp;E477</f>
        <v>sector 4 and region 2</v>
      </c>
      <c r="B477" s="26"/>
      <c r="C477" s="26"/>
      <c r="D477" s="24">
        <v>4</v>
      </c>
      <c r="E477" s="24">
        <v>2</v>
      </c>
      <c r="F477" s="24" t="str">
        <f>D477 &amp; "_" &amp; E477</f>
        <v>4_2</v>
      </c>
    </row>
    <row r="478" spans="1:8" x14ac:dyDescent="0.25">
      <c r="A478" s="5" t="s">
        <v>3</v>
      </c>
    </row>
    <row r="479" spans="1:8" x14ac:dyDescent="0.25">
      <c r="A479" t="str" cm="1">
        <f t="array" aca="1" ref="A479" ca="1">"aN_T_1_" &amp; INDIRECT("F" &amp; ROW(C479)-2) &amp; "_p"</f>
        <v>aN_T_1_4_2_p</v>
      </c>
      <c r="B479">
        <v>0</v>
      </c>
      <c r="C479" t="s">
        <v>4</v>
      </c>
    </row>
    <row r="480" spans="1:8" x14ac:dyDescent="0.25">
      <c r="A480" t="str" cm="1">
        <f t="array" aca="1" ref="A480" ca="1">"aN_T_2_" &amp; INDIRECT("F" &amp; ROW(C480)-3) &amp; "_p"</f>
        <v>aN_T_2_4_2_p</v>
      </c>
      <c r="B480">
        <v>0</v>
      </c>
      <c r="C480" t="s">
        <v>5</v>
      </c>
    </row>
    <row r="481" spans="1:8" x14ac:dyDescent="0.25">
      <c r="A481" t="str" cm="1">
        <f t="array" aca="1" ref="A481" ca="1">"aN_T_3_" &amp; INDIRECT("F" &amp; ROW(C481)-4) &amp; "_p"</f>
        <v>aN_T_3_4_2_p</v>
      </c>
      <c r="B481">
        <v>2</v>
      </c>
      <c r="C481" t="s">
        <v>6</v>
      </c>
    </row>
    <row r="482" spans="1:8" x14ac:dyDescent="0.25">
      <c r="A482" s="5" t="s">
        <v>8</v>
      </c>
    </row>
    <row r="483" spans="1:8" x14ac:dyDescent="0.25">
      <c r="A483" t="str" cm="1">
        <f t="array" aca="1" ref="A483" ca="1">"aN_WS_1_" &amp; INDIRECT("F" &amp; ROW(C483)-6) &amp; "_p"</f>
        <v>aN_WS_1_4_2_p</v>
      </c>
      <c r="B483">
        <v>0</v>
      </c>
      <c r="C483" t="s">
        <v>4</v>
      </c>
    </row>
    <row r="484" spans="1:8" x14ac:dyDescent="0.25">
      <c r="A484" t="str" cm="1">
        <f t="array" aca="1" ref="A484" ca="1">"aN_WS_2_" &amp; INDIRECT("F" &amp; ROW(C484)-7) &amp; "_p"</f>
        <v>aN_WS_2_4_2_p</v>
      </c>
      <c r="B484">
        <v>0</v>
      </c>
      <c r="C484" t="s">
        <v>5</v>
      </c>
    </row>
    <row r="485" spans="1:8" x14ac:dyDescent="0.25">
      <c r="A485" t="str" cm="1">
        <f t="array" aca="1" ref="A485" ca="1">"aN_WS_3_" &amp; INDIRECT("F" &amp; ROW(C485)-8) &amp; "_p"</f>
        <v>aN_WS_3_4_2_p</v>
      </c>
      <c r="B485">
        <v>2</v>
      </c>
      <c r="C485" t="s">
        <v>6</v>
      </c>
    </row>
    <row r="486" spans="1:8" x14ac:dyDescent="0.25">
      <c r="A486" s="5" t="s">
        <v>7</v>
      </c>
      <c r="F486" s="27"/>
      <c r="G486" s="27"/>
      <c r="H486" s="27"/>
    </row>
    <row r="487" spans="1:8" x14ac:dyDescent="0.25">
      <c r="A487" t="str" cm="1">
        <f t="array" aca="1" ref="A487" ca="1">"aN_PREC_1_" &amp; INDIRECT("F" &amp; ROW(C487) - 10) &amp; "_p"</f>
        <v>aN_PREC_1_4_2_p</v>
      </c>
      <c r="B487">
        <v>0</v>
      </c>
      <c r="C487" t="s">
        <v>4</v>
      </c>
    </row>
    <row r="488" spans="1:8" x14ac:dyDescent="0.25">
      <c r="A488" t="str" cm="1">
        <f t="array" aca="1" ref="A488" ca="1">"aN_PREC_2_" &amp; INDIRECT("F" &amp; ROW(C488) - 11) &amp; "_p"</f>
        <v>aN_PREC_2_4_2_p</v>
      </c>
      <c r="B488">
        <v>0</v>
      </c>
      <c r="C488" t="s">
        <v>5</v>
      </c>
    </row>
    <row r="489" spans="1:8" x14ac:dyDescent="0.25">
      <c r="A489" t="str" cm="1">
        <f t="array" aca="1" ref="A489" ca="1">"aN_PREC_3_" &amp; INDIRECT("F" &amp; ROW(C489) - 12) &amp; "_p"</f>
        <v>aN_PREC_3_4_2_p</v>
      </c>
      <c r="B489">
        <v>2</v>
      </c>
      <c r="C489" t="s">
        <v>6</v>
      </c>
    </row>
    <row r="490" spans="1:8" x14ac:dyDescent="0.25">
      <c r="A490" s="5" t="s">
        <v>9</v>
      </c>
      <c r="F490" s="27"/>
      <c r="G490" s="27"/>
      <c r="H490" s="27"/>
    </row>
    <row r="491" spans="1:8" x14ac:dyDescent="0.25">
      <c r="A491" t="str" cm="1">
        <f t="array" aca="1" ref="A491" ca="1">"aN_SL_1_" &amp; INDIRECT("F" &amp; ROW(C491) - 14) &amp; "_p"</f>
        <v>aN_SL_1_4_2_p</v>
      </c>
      <c r="B491">
        <v>0</v>
      </c>
      <c r="C491" t="s">
        <v>4</v>
      </c>
    </row>
    <row r="492" spans="1:8" x14ac:dyDescent="0.25">
      <c r="A492" t="str" cm="1">
        <f t="array" aca="1" ref="A492" ca="1">"aN_SL_2_" &amp; INDIRECT("F" &amp; ROW(C492) - 15) &amp; "_p"</f>
        <v>aN_SL_2_4_2_p</v>
      </c>
      <c r="B492">
        <v>0</v>
      </c>
      <c r="C492" t="s">
        <v>5</v>
      </c>
    </row>
    <row r="493" spans="1:8" x14ac:dyDescent="0.25">
      <c r="A493" t="str" cm="1">
        <f t="array" aca="1" ref="A493" ca="1">"aN_SL_3_" &amp; INDIRECT("F" &amp; ROW(C493) - 16) &amp; "_p"</f>
        <v>aN_SL_3_4_2_p</v>
      </c>
      <c r="B493">
        <v>2</v>
      </c>
      <c r="C493" t="s">
        <v>6</v>
      </c>
    </row>
    <row r="494" spans="1:8" x14ac:dyDescent="0.25">
      <c r="A494" s="5" t="s">
        <v>95</v>
      </c>
    </row>
    <row r="495" spans="1:8" x14ac:dyDescent="0.25">
      <c r="A495" t="str" cm="1">
        <f t="array" aca="1" ref="A495" ca="1">"aN_DRO_1_" &amp; INDIRECT("F" &amp; ROW(C495) - 18) &amp; "_p"</f>
        <v>aN_DRO_1_4_2_p</v>
      </c>
      <c r="B495">
        <v>0.01</v>
      </c>
      <c r="C495" t="s">
        <v>4</v>
      </c>
    </row>
    <row r="496" spans="1:8" x14ac:dyDescent="0.25">
      <c r="A496" t="str" cm="1">
        <f t="array" aca="1" ref="A496" ca="1">"aN_DRO_2_" &amp; INDIRECT("F" &amp; ROW(C496) - 19) &amp; "_p"</f>
        <v>aN_DRO_2_4_2_p</v>
      </c>
      <c r="B496">
        <v>0</v>
      </c>
      <c r="C496" t="s">
        <v>5</v>
      </c>
    </row>
    <row r="497" spans="1:8" x14ac:dyDescent="0.25">
      <c r="A497" t="str" cm="1">
        <f t="array" aca="1" ref="A497" ca="1">"aN_DRO_3_" &amp; INDIRECT("F" &amp; ROW(C497) - 20) &amp; "_p"</f>
        <v>aN_DRO_3_4_2_p</v>
      </c>
      <c r="B497">
        <v>2</v>
      </c>
      <c r="C497" t="s">
        <v>6</v>
      </c>
    </row>
    <row r="498" spans="1:8" x14ac:dyDescent="0.25">
      <c r="A498" s="5" t="s">
        <v>96</v>
      </c>
    </row>
    <row r="499" spans="1:8" x14ac:dyDescent="0.25">
      <c r="A499" t="str" cm="1">
        <f t="array" aca="1" ref="A499" ca="1">"aN_CYC_1_" &amp; INDIRECT("F" &amp; ROW(C499) - 22) &amp; "_p"</f>
        <v>aN_CYC_1_4_2_p</v>
      </c>
      <c r="B499">
        <v>0</v>
      </c>
      <c r="C499" t="s">
        <v>4</v>
      </c>
    </row>
    <row r="500" spans="1:8" x14ac:dyDescent="0.25">
      <c r="A500" t="str" cm="1">
        <f t="array" aca="1" ref="A500" ca="1">"aN_CYC_2_" &amp; INDIRECT("F" &amp; ROW(C500) - 23) &amp; "_p"</f>
        <v>aN_CYC_2_4_2_p</v>
      </c>
      <c r="B500">
        <v>0</v>
      </c>
      <c r="C500" t="s">
        <v>5</v>
      </c>
    </row>
    <row r="501" spans="1:8" x14ac:dyDescent="0.25">
      <c r="A501" t="str" cm="1">
        <f t="array" aca="1" ref="A501" ca="1">"aN_CYC_3_" &amp; INDIRECT("F" &amp; ROW(C501) - 24) &amp; "_p"</f>
        <v>aN_CYC_3_4_2_p</v>
      </c>
      <c r="B501">
        <v>2</v>
      </c>
      <c r="C501" t="s">
        <v>6</v>
      </c>
    </row>
    <row r="502" spans="1:8" x14ac:dyDescent="0.25">
      <c r="A502" s="26" t="str">
        <f>"sector " &amp; D502 &amp; " and region " &amp;E502</f>
        <v>sector 4 and region 3</v>
      </c>
      <c r="B502" s="26"/>
      <c r="C502" s="26"/>
      <c r="D502" s="24">
        <v>4</v>
      </c>
      <c r="E502" s="24">
        <v>3</v>
      </c>
      <c r="F502" s="24" t="str">
        <f>D502 &amp; "_" &amp; E502</f>
        <v>4_3</v>
      </c>
    </row>
    <row r="503" spans="1:8" x14ac:dyDescent="0.25">
      <c r="A503" s="5" t="s">
        <v>3</v>
      </c>
    </row>
    <row r="504" spans="1:8" x14ac:dyDescent="0.25">
      <c r="A504" t="str" cm="1">
        <f t="array" aca="1" ref="A504" ca="1">"aN_T_1_" &amp; INDIRECT("F" &amp; ROW(C504)-2) &amp; "_p"</f>
        <v>aN_T_1_4_3_p</v>
      </c>
      <c r="B504">
        <v>0</v>
      </c>
      <c r="C504" t="s">
        <v>4</v>
      </c>
    </row>
    <row r="505" spans="1:8" x14ac:dyDescent="0.25">
      <c r="A505" t="str" cm="1">
        <f t="array" aca="1" ref="A505" ca="1">"aN_T_2_" &amp; INDIRECT("F" &amp; ROW(C505)-3) &amp; "_p"</f>
        <v>aN_T_2_4_3_p</v>
      </c>
      <c r="B505">
        <v>0</v>
      </c>
      <c r="C505" t="s">
        <v>5</v>
      </c>
    </row>
    <row r="506" spans="1:8" x14ac:dyDescent="0.25">
      <c r="A506" t="str" cm="1">
        <f t="array" aca="1" ref="A506" ca="1">"aN_T_3_" &amp; INDIRECT("F" &amp; ROW(C506)-4) &amp; "_p"</f>
        <v>aN_T_3_4_3_p</v>
      </c>
      <c r="B506">
        <v>2</v>
      </c>
      <c r="C506" t="s">
        <v>6</v>
      </c>
    </row>
    <row r="507" spans="1:8" x14ac:dyDescent="0.25">
      <c r="A507" s="5" t="s">
        <v>8</v>
      </c>
    </row>
    <row r="508" spans="1:8" x14ac:dyDescent="0.25">
      <c r="A508" t="str" cm="1">
        <f t="array" aca="1" ref="A508" ca="1">"aN_WS_1_" &amp; INDIRECT("F" &amp; ROW(C508)-6) &amp; "_p"</f>
        <v>aN_WS_1_4_3_p</v>
      </c>
      <c r="B508">
        <v>0</v>
      </c>
      <c r="C508" t="s">
        <v>4</v>
      </c>
    </row>
    <row r="509" spans="1:8" x14ac:dyDescent="0.25">
      <c r="A509" t="str" cm="1">
        <f t="array" aca="1" ref="A509" ca="1">"aN_WS_2_" &amp; INDIRECT("F" &amp; ROW(C509)-7) &amp; "_p"</f>
        <v>aN_WS_2_4_3_p</v>
      </c>
      <c r="B509">
        <v>0</v>
      </c>
      <c r="C509" t="s">
        <v>5</v>
      </c>
    </row>
    <row r="510" spans="1:8" x14ac:dyDescent="0.25">
      <c r="A510" t="str" cm="1">
        <f t="array" aca="1" ref="A510" ca="1">"aN_WS_3_" &amp; INDIRECT("F" &amp; ROW(C510)-8) &amp; "_p"</f>
        <v>aN_WS_3_4_3_p</v>
      </c>
      <c r="B510">
        <v>2</v>
      </c>
      <c r="C510" t="s">
        <v>6</v>
      </c>
    </row>
    <row r="511" spans="1:8" x14ac:dyDescent="0.25">
      <c r="A511" s="5" t="s">
        <v>7</v>
      </c>
      <c r="F511" s="27"/>
      <c r="G511" s="27"/>
      <c r="H511" s="27"/>
    </row>
    <row r="512" spans="1:8" x14ac:dyDescent="0.25">
      <c r="A512" t="str" cm="1">
        <f t="array" aca="1" ref="A512" ca="1">"aN_PREC_1_" &amp; INDIRECT("F" &amp; ROW(C512) - 10) &amp; "_p"</f>
        <v>aN_PREC_1_4_3_p</v>
      </c>
      <c r="B512">
        <v>0</v>
      </c>
      <c r="C512" t="s">
        <v>4</v>
      </c>
    </row>
    <row r="513" spans="1:8" x14ac:dyDescent="0.25">
      <c r="A513" t="str" cm="1">
        <f t="array" aca="1" ref="A513" ca="1">"aN_PREC_2_" &amp; INDIRECT("F" &amp; ROW(C513) - 11) &amp; "_p"</f>
        <v>aN_PREC_2_4_3_p</v>
      </c>
      <c r="B513">
        <v>0</v>
      </c>
      <c r="C513" t="s">
        <v>5</v>
      </c>
    </row>
    <row r="514" spans="1:8" x14ac:dyDescent="0.25">
      <c r="A514" t="str" cm="1">
        <f t="array" aca="1" ref="A514" ca="1">"aN_PREC_3_" &amp; INDIRECT("F" &amp; ROW(C514) - 12) &amp; "_p"</f>
        <v>aN_PREC_3_4_3_p</v>
      </c>
      <c r="B514">
        <v>2</v>
      </c>
      <c r="C514" t="s">
        <v>6</v>
      </c>
    </row>
    <row r="515" spans="1:8" x14ac:dyDescent="0.25">
      <c r="A515" s="5" t="s">
        <v>9</v>
      </c>
      <c r="F515" s="27"/>
      <c r="G515" s="27"/>
      <c r="H515" s="27"/>
    </row>
    <row r="516" spans="1:8" x14ac:dyDescent="0.25">
      <c r="A516" t="str" cm="1">
        <f t="array" aca="1" ref="A516" ca="1">"aN_SL_1_" &amp; INDIRECT("F" &amp; ROW(C516) - 14) &amp; "_p"</f>
        <v>aN_SL_1_4_3_p</v>
      </c>
      <c r="B516">
        <v>0</v>
      </c>
      <c r="C516" t="s">
        <v>4</v>
      </c>
    </row>
    <row r="517" spans="1:8" x14ac:dyDescent="0.25">
      <c r="A517" t="str" cm="1">
        <f t="array" aca="1" ref="A517" ca="1">"aN_SL_2_" &amp; INDIRECT("F" &amp; ROW(C517) - 15) &amp; "_p"</f>
        <v>aN_SL_2_4_3_p</v>
      </c>
      <c r="B517">
        <v>0</v>
      </c>
      <c r="C517" t="s">
        <v>5</v>
      </c>
    </row>
    <row r="518" spans="1:8" x14ac:dyDescent="0.25">
      <c r="A518" t="str" cm="1">
        <f t="array" aca="1" ref="A518" ca="1">"aN_SL_3_" &amp; INDIRECT("F" &amp; ROW(C518) - 16) &amp; "_p"</f>
        <v>aN_SL_3_4_3_p</v>
      </c>
      <c r="B518">
        <v>2</v>
      </c>
      <c r="C518" t="s">
        <v>6</v>
      </c>
    </row>
    <row r="519" spans="1:8" x14ac:dyDescent="0.25">
      <c r="A519" s="5" t="s">
        <v>95</v>
      </c>
    </row>
    <row r="520" spans="1:8" x14ac:dyDescent="0.25">
      <c r="A520" t="str" cm="1">
        <f t="array" aca="1" ref="A520" ca="1">"aN_DRO_1_" &amp; INDIRECT("F" &amp; ROW(C520) - 18) &amp; "_p"</f>
        <v>aN_DRO_1_4_3_p</v>
      </c>
      <c r="B520">
        <v>0.01</v>
      </c>
      <c r="C520" t="s">
        <v>4</v>
      </c>
    </row>
    <row r="521" spans="1:8" x14ac:dyDescent="0.25">
      <c r="A521" t="str" cm="1">
        <f t="array" aca="1" ref="A521" ca="1">"aN_DRO_2_" &amp; INDIRECT("F" &amp; ROW(C521) - 19) &amp; "_p"</f>
        <v>aN_DRO_2_4_3_p</v>
      </c>
      <c r="B521">
        <v>0</v>
      </c>
      <c r="C521" t="s">
        <v>5</v>
      </c>
    </row>
    <row r="522" spans="1:8" x14ac:dyDescent="0.25">
      <c r="A522" t="str" cm="1">
        <f t="array" aca="1" ref="A522" ca="1">"aN_DRO_3_" &amp; INDIRECT("F" &amp; ROW(C522) - 20) &amp; "_p"</f>
        <v>aN_DRO_3_4_3_p</v>
      </c>
      <c r="B522">
        <v>2</v>
      </c>
      <c r="C522" t="s">
        <v>6</v>
      </c>
    </row>
    <row r="523" spans="1:8" x14ac:dyDescent="0.25">
      <c r="A523" s="5" t="s">
        <v>96</v>
      </c>
    </row>
    <row r="524" spans="1:8" x14ac:dyDescent="0.25">
      <c r="A524" t="str" cm="1">
        <f t="array" aca="1" ref="A524" ca="1">"aN_CYC_1_" &amp; INDIRECT("F" &amp; ROW(C524) - 22) &amp; "_p"</f>
        <v>aN_CYC_1_4_3_p</v>
      </c>
      <c r="B524">
        <v>0</v>
      </c>
      <c r="C524" t="s">
        <v>4</v>
      </c>
    </row>
    <row r="525" spans="1:8" x14ac:dyDescent="0.25">
      <c r="A525" t="str" cm="1">
        <f t="array" aca="1" ref="A525" ca="1">"aN_CYC_2_" &amp; INDIRECT("F" &amp; ROW(C525) - 23) &amp; "_p"</f>
        <v>aN_CYC_2_4_3_p</v>
      </c>
      <c r="B525">
        <v>0</v>
      </c>
      <c r="C525" t="s">
        <v>5</v>
      </c>
    </row>
    <row r="526" spans="1:8" x14ac:dyDescent="0.25">
      <c r="A526" t="str" cm="1">
        <f t="array" aca="1" ref="A526" ca="1">"aN_CYC_3_" &amp; INDIRECT("F" &amp; ROW(C526) - 24) &amp; "_p"</f>
        <v>aN_CYC_3_4_3_p</v>
      </c>
      <c r="B526">
        <v>2</v>
      </c>
      <c r="C526" t="s">
        <v>6</v>
      </c>
    </row>
    <row r="527" spans="1:8" x14ac:dyDescent="0.25">
      <c r="A527" s="26" t="str">
        <f>"sector " &amp; D527 &amp; " and region " &amp;E527</f>
        <v>sector 4 and region 4</v>
      </c>
      <c r="B527" s="26"/>
      <c r="C527" s="26"/>
      <c r="D527" s="24">
        <v>4</v>
      </c>
      <c r="E527" s="24">
        <v>4</v>
      </c>
      <c r="F527" s="24" t="str">
        <f>D527 &amp; "_" &amp; E527</f>
        <v>4_4</v>
      </c>
    </row>
    <row r="528" spans="1:8" x14ac:dyDescent="0.25">
      <c r="A528" s="5" t="s">
        <v>3</v>
      </c>
    </row>
    <row r="529" spans="1:8" x14ac:dyDescent="0.25">
      <c r="A529" t="str" cm="1">
        <f t="array" aca="1" ref="A529" ca="1">"aN_T_1_" &amp; INDIRECT("F" &amp; ROW(C529)-2) &amp; "_p"</f>
        <v>aN_T_1_4_4_p</v>
      </c>
      <c r="B529">
        <v>0</v>
      </c>
      <c r="C529" t="s">
        <v>4</v>
      </c>
    </row>
    <row r="530" spans="1:8" x14ac:dyDescent="0.25">
      <c r="A530" t="str" cm="1">
        <f t="array" aca="1" ref="A530" ca="1">"aN_T_2_" &amp; INDIRECT("F" &amp; ROW(C530)-3) &amp; "_p"</f>
        <v>aN_T_2_4_4_p</v>
      </c>
      <c r="B530">
        <v>0</v>
      </c>
      <c r="C530" t="s">
        <v>5</v>
      </c>
    </row>
    <row r="531" spans="1:8" x14ac:dyDescent="0.25">
      <c r="A531" t="str" cm="1">
        <f t="array" aca="1" ref="A531" ca="1">"aN_T_3_" &amp; INDIRECT("F" &amp; ROW(C531)-4) &amp; "_p"</f>
        <v>aN_T_3_4_4_p</v>
      </c>
      <c r="B531">
        <v>2</v>
      </c>
      <c r="C531" t="s">
        <v>6</v>
      </c>
    </row>
    <row r="532" spans="1:8" x14ac:dyDescent="0.25">
      <c r="A532" s="5" t="s">
        <v>8</v>
      </c>
    </row>
    <row r="533" spans="1:8" x14ac:dyDescent="0.25">
      <c r="A533" t="str" cm="1">
        <f t="array" aca="1" ref="A533" ca="1">"aN_WS_1_" &amp; INDIRECT("F" &amp; ROW(C533)-6) &amp; "_p"</f>
        <v>aN_WS_1_4_4_p</v>
      </c>
      <c r="B533">
        <v>0</v>
      </c>
      <c r="C533" t="s">
        <v>4</v>
      </c>
    </row>
    <row r="534" spans="1:8" x14ac:dyDescent="0.25">
      <c r="A534" t="str" cm="1">
        <f t="array" aca="1" ref="A534" ca="1">"aN_WS_2_" &amp; INDIRECT("F" &amp; ROW(C534)-7) &amp; "_p"</f>
        <v>aN_WS_2_4_4_p</v>
      </c>
      <c r="B534">
        <v>0</v>
      </c>
      <c r="C534" t="s">
        <v>5</v>
      </c>
    </row>
    <row r="535" spans="1:8" x14ac:dyDescent="0.25">
      <c r="A535" t="str" cm="1">
        <f t="array" aca="1" ref="A535" ca="1">"aN_WS_3_" &amp; INDIRECT("F" &amp; ROW(C535)-8) &amp; "_p"</f>
        <v>aN_WS_3_4_4_p</v>
      </c>
      <c r="B535">
        <v>2</v>
      </c>
      <c r="C535" t="s">
        <v>6</v>
      </c>
    </row>
    <row r="536" spans="1:8" x14ac:dyDescent="0.25">
      <c r="A536" s="5" t="s">
        <v>7</v>
      </c>
      <c r="F536" s="27"/>
      <c r="G536" s="27"/>
      <c r="H536" s="27"/>
    </row>
    <row r="537" spans="1:8" x14ac:dyDescent="0.25">
      <c r="A537" t="str" cm="1">
        <f t="array" aca="1" ref="A537" ca="1">"aN_PREC_1_" &amp; INDIRECT("F" &amp; ROW(C537) - 10) &amp; "_p"</f>
        <v>aN_PREC_1_4_4_p</v>
      </c>
      <c r="B537">
        <v>0</v>
      </c>
      <c r="C537" t="s">
        <v>4</v>
      </c>
    </row>
    <row r="538" spans="1:8" x14ac:dyDescent="0.25">
      <c r="A538" t="str" cm="1">
        <f t="array" aca="1" ref="A538" ca="1">"aN_PREC_2_" &amp; INDIRECT("F" &amp; ROW(C538) - 11) &amp; "_p"</f>
        <v>aN_PREC_2_4_4_p</v>
      </c>
      <c r="B538">
        <v>0</v>
      </c>
      <c r="C538" t="s">
        <v>5</v>
      </c>
    </row>
    <row r="539" spans="1:8" x14ac:dyDescent="0.25">
      <c r="A539" t="str" cm="1">
        <f t="array" aca="1" ref="A539" ca="1">"aN_PREC_3_" &amp; INDIRECT("F" &amp; ROW(C539) - 12) &amp; "_p"</f>
        <v>aN_PREC_3_4_4_p</v>
      </c>
      <c r="B539">
        <v>2</v>
      </c>
      <c r="C539" t="s">
        <v>6</v>
      </c>
    </row>
    <row r="540" spans="1:8" x14ac:dyDescent="0.25">
      <c r="A540" s="5" t="s">
        <v>9</v>
      </c>
      <c r="F540" s="27"/>
      <c r="G540" s="27"/>
      <c r="H540" s="27"/>
    </row>
    <row r="541" spans="1:8" x14ac:dyDescent="0.25">
      <c r="A541" t="str" cm="1">
        <f t="array" aca="1" ref="A541" ca="1">"aN_SL_1_" &amp; INDIRECT("F" &amp; ROW(C541) - 14) &amp; "_p"</f>
        <v>aN_SL_1_4_4_p</v>
      </c>
      <c r="B541">
        <v>0</v>
      </c>
      <c r="C541" t="s">
        <v>4</v>
      </c>
    </row>
    <row r="542" spans="1:8" x14ac:dyDescent="0.25">
      <c r="A542" t="str" cm="1">
        <f t="array" aca="1" ref="A542" ca="1">"aN_SL_2_" &amp; INDIRECT("F" &amp; ROW(C542) - 15) &amp; "_p"</f>
        <v>aN_SL_2_4_4_p</v>
      </c>
      <c r="B542">
        <v>0</v>
      </c>
      <c r="C542" t="s">
        <v>5</v>
      </c>
    </row>
    <row r="543" spans="1:8" x14ac:dyDescent="0.25">
      <c r="A543" t="str" cm="1">
        <f t="array" aca="1" ref="A543" ca="1">"aN_SL_3_" &amp; INDIRECT("F" &amp; ROW(C543) - 16) &amp; "_p"</f>
        <v>aN_SL_3_4_4_p</v>
      </c>
      <c r="B543">
        <v>2</v>
      </c>
      <c r="C543" t="s">
        <v>6</v>
      </c>
    </row>
    <row r="544" spans="1:8" x14ac:dyDescent="0.25">
      <c r="A544" s="5" t="s">
        <v>95</v>
      </c>
    </row>
    <row r="545" spans="1:6" x14ac:dyDescent="0.25">
      <c r="A545" t="str" cm="1">
        <f t="array" aca="1" ref="A545" ca="1">"aN_DRO_1_" &amp; INDIRECT("F" &amp; ROW(C545) - 18) &amp; "_p"</f>
        <v>aN_DRO_1_4_4_p</v>
      </c>
      <c r="B545">
        <v>0.01</v>
      </c>
      <c r="C545" t="s">
        <v>4</v>
      </c>
    </row>
    <row r="546" spans="1:6" x14ac:dyDescent="0.25">
      <c r="A546" t="str" cm="1">
        <f t="array" aca="1" ref="A546" ca="1">"aN_DRO_2_" &amp; INDIRECT("F" &amp; ROW(C546) - 19) &amp; "_p"</f>
        <v>aN_DRO_2_4_4_p</v>
      </c>
      <c r="B546">
        <v>0</v>
      </c>
      <c r="C546" t="s">
        <v>5</v>
      </c>
    </row>
    <row r="547" spans="1:6" x14ac:dyDescent="0.25">
      <c r="A547" t="str" cm="1">
        <f t="array" aca="1" ref="A547" ca="1">"aN_DRO_3_" &amp; INDIRECT("F" &amp; ROW(C547) - 20) &amp; "_p"</f>
        <v>aN_DRO_3_4_4_p</v>
      </c>
      <c r="B547">
        <v>2</v>
      </c>
      <c r="C547" t="s">
        <v>6</v>
      </c>
    </row>
    <row r="548" spans="1:6" x14ac:dyDescent="0.25">
      <c r="A548" s="5" t="s">
        <v>96</v>
      </c>
    </row>
    <row r="549" spans="1:6" x14ac:dyDescent="0.25">
      <c r="A549" t="str" cm="1">
        <f t="array" aca="1" ref="A549" ca="1">"aN_CYC_1_" &amp; INDIRECT("F" &amp; ROW(C549) - 22) &amp; "_p"</f>
        <v>aN_CYC_1_4_4_p</v>
      </c>
      <c r="B549">
        <v>0</v>
      </c>
      <c r="C549" t="s">
        <v>4</v>
      </c>
    </row>
    <row r="550" spans="1:6" x14ac:dyDescent="0.25">
      <c r="A550" t="str" cm="1">
        <f t="array" aca="1" ref="A550" ca="1">"aN_CYC_2_" &amp; INDIRECT("F" &amp; ROW(C550) - 23) &amp; "_p"</f>
        <v>aN_CYC_2_4_4_p</v>
      </c>
      <c r="B550">
        <v>0</v>
      </c>
      <c r="C550" t="s">
        <v>5</v>
      </c>
    </row>
    <row r="551" spans="1:6" x14ac:dyDescent="0.25">
      <c r="A551" t="str" cm="1">
        <f t="array" aca="1" ref="A551" ca="1">"aN_CYC_3_" &amp; INDIRECT("F" &amp; ROW(C551) - 24) &amp; "_p"</f>
        <v>aN_CYC_3_4_4_p</v>
      </c>
      <c r="B551">
        <v>2</v>
      </c>
      <c r="C551" t="s">
        <v>6</v>
      </c>
    </row>
    <row r="552" spans="1:6" x14ac:dyDescent="0.25">
      <c r="A552" s="26" t="str">
        <f>"sector " &amp; D552 &amp; " and region " &amp;E552</f>
        <v>sector 4 and region 5</v>
      </c>
      <c r="B552" s="26"/>
      <c r="C552" s="26"/>
      <c r="D552" s="24">
        <v>4</v>
      </c>
      <c r="E552" s="24">
        <v>5</v>
      </c>
      <c r="F552" s="24" t="str">
        <f>D552 &amp; "_" &amp; E552</f>
        <v>4_5</v>
      </c>
    </row>
    <row r="553" spans="1:6" x14ac:dyDescent="0.25">
      <c r="A553" s="5" t="s">
        <v>3</v>
      </c>
    </row>
    <row r="554" spans="1:6" x14ac:dyDescent="0.25">
      <c r="A554" t="str" cm="1">
        <f t="array" aca="1" ref="A554" ca="1">"aN_T_1_" &amp; INDIRECT("F" &amp; ROW(C554)-2) &amp; "_p"</f>
        <v>aN_T_1_4_5_p</v>
      </c>
      <c r="B554">
        <v>0</v>
      </c>
      <c r="C554" t="s">
        <v>4</v>
      </c>
    </row>
    <row r="555" spans="1:6" x14ac:dyDescent="0.25">
      <c r="A555" t="str" cm="1">
        <f t="array" aca="1" ref="A555" ca="1">"aN_T_2_" &amp; INDIRECT("F" &amp; ROW(C555)-3) &amp; "_p"</f>
        <v>aN_T_2_4_5_p</v>
      </c>
      <c r="B555">
        <v>0</v>
      </c>
      <c r="C555" t="s">
        <v>5</v>
      </c>
    </row>
    <row r="556" spans="1:6" x14ac:dyDescent="0.25">
      <c r="A556" t="str" cm="1">
        <f t="array" aca="1" ref="A556" ca="1">"aN_T_3_" &amp; INDIRECT("F" &amp; ROW(C556)-4) &amp; "_p"</f>
        <v>aN_T_3_4_5_p</v>
      </c>
      <c r="B556">
        <v>2</v>
      </c>
      <c r="C556" t="s">
        <v>6</v>
      </c>
    </row>
    <row r="557" spans="1:6" x14ac:dyDescent="0.25">
      <c r="A557" s="5" t="s">
        <v>8</v>
      </c>
    </row>
    <row r="558" spans="1:6" x14ac:dyDescent="0.25">
      <c r="A558" t="str" cm="1">
        <f t="array" aca="1" ref="A558" ca="1">"aN_WS_1_" &amp; INDIRECT("F" &amp; ROW(C558)-6) &amp; "_p"</f>
        <v>aN_WS_1_4_5_p</v>
      </c>
      <c r="B558">
        <v>0</v>
      </c>
      <c r="C558" t="s">
        <v>4</v>
      </c>
    </row>
    <row r="559" spans="1:6" x14ac:dyDescent="0.25">
      <c r="A559" t="str" cm="1">
        <f t="array" aca="1" ref="A559" ca="1">"aN_WS_2_" &amp; INDIRECT("F" &amp; ROW(C559)-7) &amp; "_p"</f>
        <v>aN_WS_2_4_5_p</v>
      </c>
      <c r="B559">
        <v>0</v>
      </c>
      <c r="C559" t="s">
        <v>5</v>
      </c>
    </row>
    <row r="560" spans="1:6" x14ac:dyDescent="0.25">
      <c r="A560" t="str" cm="1">
        <f t="array" aca="1" ref="A560" ca="1">"aN_WS_3_" &amp; INDIRECT("F" &amp; ROW(C560)-8) &amp; "_p"</f>
        <v>aN_WS_3_4_5_p</v>
      </c>
      <c r="B560">
        <v>2</v>
      </c>
      <c r="C560" t="s">
        <v>6</v>
      </c>
    </row>
    <row r="561" spans="1:8" x14ac:dyDescent="0.25">
      <c r="A561" s="5" t="s">
        <v>7</v>
      </c>
      <c r="F561" s="27"/>
      <c r="G561" s="27"/>
      <c r="H561" s="27"/>
    </row>
    <row r="562" spans="1:8" x14ac:dyDescent="0.25">
      <c r="A562" t="str" cm="1">
        <f t="array" aca="1" ref="A562" ca="1">"aN_PREC_1_" &amp; INDIRECT("F" &amp; ROW(C562) - 10) &amp; "_p"</f>
        <v>aN_PREC_1_4_5_p</v>
      </c>
      <c r="B562">
        <v>0</v>
      </c>
      <c r="C562" t="s">
        <v>4</v>
      </c>
    </row>
    <row r="563" spans="1:8" x14ac:dyDescent="0.25">
      <c r="A563" t="str" cm="1">
        <f t="array" aca="1" ref="A563" ca="1">"aN_PREC_2_" &amp; INDIRECT("F" &amp; ROW(C563) - 11) &amp; "_p"</f>
        <v>aN_PREC_2_4_5_p</v>
      </c>
      <c r="B563">
        <v>0</v>
      </c>
      <c r="C563" t="s">
        <v>5</v>
      </c>
    </row>
    <row r="564" spans="1:8" x14ac:dyDescent="0.25">
      <c r="A564" t="str" cm="1">
        <f t="array" aca="1" ref="A564" ca="1">"aN_PREC_3_" &amp; INDIRECT("F" &amp; ROW(C564) - 12) &amp; "_p"</f>
        <v>aN_PREC_3_4_5_p</v>
      </c>
      <c r="B564">
        <v>2</v>
      </c>
      <c r="C564" t="s">
        <v>6</v>
      </c>
    </row>
    <row r="565" spans="1:8" x14ac:dyDescent="0.25">
      <c r="A565" s="5" t="s">
        <v>9</v>
      </c>
      <c r="F565" s="27"/>
      <c r="G565" s="27"/>
      <c r="H565" s="27"/>
    </row>
    <row r="566" spans="1:8" x14ac:dyDescent="0.25">
      <c r="A566" t="str" cm="1">
        <f t="array" aca="1" ref="A566" ca="1">"aN_SL_1_" &amp; INDIRECT("F" &amp; ROW(C566) - 14) &amp; "_p"</f>
        <v>aN_SL_1_4_5_p</v>
      </c>
      <c r="B566">
        <v>0</v>
      </c>
      <c r="C566" t="s">
        <v>4</v>
      </c>
    </row>
    <row r="567" spans="1:8" x14ac:dyDescent="0.25">
      <c r="A567" t="str" cm="1">
        <f t="array" aca="1" ref="A567" ca="1">"aN_SL_2_" &amp; INDIRECT("F" &amp; ROW(C567) - 15) &amp; "_p"</f>
        <v>aN_SL_2_4_5_p</v>
      </c>
      <c r="B567">
        <v>0</v>
      </c>
      <c r="C567" t="s">
        <v>5</v>
      </c>
    </row>
    <row r="568" spans="1:8" x14ac:dyDescent="0.25">
      <c r="A568" t="str" cm="1">
        <f t="array" aca="1" ref="A568" ca="1">"aN_SL_3_" &amp; INDIRECT("F" &amp; ROW(C568) - 16) &amp; "_p"</f>
        <v>aN_SL_3_4_5_p</v>
      </c>
      <c r="B568">
        <v>2</v>
      </c>
      <c r="C568" t="s">
        <v>6</v>
      </c>
    </row>
    <row r="569" spans="1:8" x14ac:dyDescent="0.25">
      <c r="A569" s="5" t="s">
        <v>95</v>
      </c>
    </row>
    <row r="570" spans="1:8" x14ac:dyDescent="0.25">
      <c r="A570" t="str" cm="1">
        <f t="array" aca="1" ref="A570" ca="1">"aN_DRO_1_" &amp; INDIRECT("F" &amp; ROW(C570) - 18) &amp; "_p"</f>
        <v>aN_DRO_1_4_5_p</v>
      </c>
      <c r="B570">
        <v>0.01</v>
      </c>
      <c r="C570" t="s">
        <v>4</v>
      </c>
    </row>
    <row r="571" spans="1:8" x14ac:dyDescent="0.25">
      <c r="A571" t="str" cm="1">
        <f t="array" aca="1" ref="A571" ca="1">"aN_DRO_2_" &amp; INDIRECT("F" &amp; ROW(C571) - 19) &amp; "_p"</f>
        <v>aN_DRO_2_4_5_p</v>
      </c>
      <c r="B571">
        <v>0</v>
      </c>
      <c r="C571" t="s">
        <v>5</v>
      </c>
    </row>
    <row r="572" spans="1:8" x14ac:dyDescent="0.25">
      <c r="A572" t="str" cm="1">
        <f t="array" aca="1" ref="A572" ca="1">"aN_DRO_3_" &amp; INDIRECT("F" &amp; ROW(C572) - 20) &amp; "_p"</f>
        <v>aN_DRO_3_4_5_p</v>
      </c>
      <c r="B572">
        <v>2</v>
      </c>
      <c r="C572" t="s">
        <v>6</v>
      </c>
    </row>
    <row r="573" spans="1:8" x14ac:dyDescent="0.25">
      <c r="A573" s="5" t="s">
        <v>96</v>
      </c>
    </row>
    <row r="574" spans="1:8" x14ac:dyDescent="0.25">
      <c r="A574" t="str" cm="1">
        <f t="array" aca="1" ref="A574" ca="1">"aN_CYC_1_" &amp; INDIRECT("F" &amp; ROW(C574) - 22) &amp; "_p"</f>
        <v>aN_CYC_1_4_5_p</v>
      </c>
      <c r="B574">
        <v>0</v>
      </c>
      <c r="C574" t="s">
        <v>4</v>
      </c>
    </row>
    <row r="575" spans="1:8" x14ac:dyDescent="0.25">
      <c r="A575" t="str" cm="1">
        <f t="array" aca="1" ref="A575" ca="1">"aN_CYC_2_" &amp; INDIRECT("F" &amp; ROW(C575) - 23) &amp; "_p"</f>
        <v>aN_CYC_2_4_5_p</v>
      </c>
      <c r="B575">
        <v>0</v>
      </c>
      <c r="C575" t="s">
        <v>5</v>
      </c>
    </row>
    <row r="576" spans="1:8" x14ac:dyDescent="0.25">
      <c r="A576" t="str" cm="1">
        <f t="array" aca="1" ref="A576" ca="1">"aN_CYC_3_" &amp; INDIRECT("F" &amp; ROW(C576) - 24) &amp; "_p"</f>
        <v>aN_CYC_3_4_5_p</v>
      </c>
      <c r="B576">
        <v>2</v>
      </c>
      <c r="C576" t="s">
        <v>6</v>
      </c>
    </row>
    <row r="577" spans="1:8" x14ac:dyDescent="0.25">
      <c r="A577" s="26" t="str">
        <f>"sector " &amp; D577 &amp; " and region " &amp;E577</f>
        <v>sector 4 and region 6</v>
      </c>
      <c r="B577" s="26"/>
      <c r="C577" s="26"/>
      <c r="D577" s="24">
        <v>4</v>
      </c>
      <c r="E577" s="24">
        <v>6</v>
      </c>
      <c r="F577" s="24" t="str">
        <f>D577 &amp; "_" &amp; E577</f>
        <v>4_6</v>
      </c>
    </row>
    <row r="578" spans="1:8" x14ac:dyDescent="0.25">
      <c r="A578" s="5" t="s">
        <v>3</v>
      </c>
    </row>
    <row r="579" spans="1:8" x14ac:dyDescent="0.25">
      <c r="A579" t="str" cm="1">
        <f t="array" aca="1" ref="A579" ca="1">"aN_T_1_" &amp; INDIRECT("F" &amp; ROW(C579)-2) &amp; "_p"</f>
        <v>aN_T_1_4_6_p</v>
      </c>
      <c r="B579">
        <v>0</v>
      </c>
      <c r="C579" t="s">
        <v>4</v>
      </c>
    </row>
    <row r="580" spans="1:8" x14ac:dyDescent="0.25">
      <c r="A580" t="str" cm="1">
        <f t="array" aca="1" ref="A580" ca="1">"aN_T_2_" &amp; INDIRECT("F" &amp; ROW(C580)-3) &amp; "_p"</f>
        <v>aN_T_2_4_6_p</v>
      </c>
      <c r="B580">
        <v>0</v>
      </c>
      <c r="C580" t="s">
        <v>5</v>
      </c>
    </row>
    <row r="581" spans="1:8" x14ac:dyDescent="0.25">
      <c r="A581" t="str" cm="1">
        <f t="array" aca="1" ref="A581" ca="1">"aN_T_3_" &amp; INDIRECT("F" &amp; ROW(C581)-4) &amp; "_p"</f>
        <v>aN_T_3_4_6_p</v>
      </c>
      <c r="B581">
        <v>2</v>
      </c>
      <c r="C581" t="s">
        <v>6</v>
      </c>
    </row>
    <row r="582" spans="1:8" x14ac:dyDescent="0.25">
      <c r="A582" s="5" t="s">
        <v>8</v>
      </c>
    </row>
    <row r="583" spans="1:8" x14ac:dyDescent="0.25">
      <c r="A583" t="str" cm="1">
        <f t="array" aca="1" ref="A583" ca="1">"aN_WS_1_" &amp; INDIRECT("F" &amp; ROW(C583)-6) &amp; "_p"</f>
        <v>aN_WS_1_4_6_p</v>
      </c>
      <c r="B583">
        <v>0</v>
      </c>
      <c r="C583" t="s">
        <v>4</v>
      </c>
    </row>
    <row r="584" spans="1:8" x14ac:dyDescent="0.25">
      <c r="A584" t="str" cm="1">
        <f t="array" aca="1" ref="A584" ca="1">"aN_WS_2_" &amp; INDIRECT("F" &amp; ROW(C584)-7) &amp; "_p"</f>
        <v>aN_WS_2_4_6_p</v>
      </c>
      <c r="B584">
        <v>0</v>
      </c>
      <c r="C584" t="s">
        <v>5</v>
      </c>
    </row>
    <row r="585" spans="1:8" x14ac:dyDescent="0.25">
      <c r="A585" t="str" cm="1">
        <f t="array" aca="1" ref="A585" ca="1">"aN_WS_3_" &amp; INDIRECT("F" &amp; ROW(C585)-8) &amp; "_p"</f>
        <v>aN_WS_3_4_6_p</v>
      </c>
      <c r="B585">
        <v>2</v>
      </c>
      <c r="C585" t="s">
        <v>6</v>
      </c>
    </row>
    <row r="586" spans="1:8" x14ac:dyDescent="0.25">
      <c r="A586" s="5" t="s">
        <v>7</v>
      </c>
      <c r="F586" s="27"/>
      <c r="G586" s="27"/>
      <c r="H586" s="27"/>
    </row>
    <row r="587" spans="1:8" x14ac:dyDescent="0.25">
      <c r="A587" t="str" cm="1">
        <f t="array" aca="1" ref="A587" ca="1">"aN_PREC_1_" &amp; INDIRECT("F" &amp; ROW(C587) - 10) &amp; "_p"</f>
        <v>aN_PREC_1_4_6_p</v>
      </c>
      <c r="B587">
        <v>0</v>
      </c>
      <c r="C587" t="s">
        <v>4</v>
      </c>
    </row>
    <row r="588" spans="1:8" x14ac:dyDescent="0.25">
      <c r="A588" t="str" cm="1">
        <f t="array" aca="1" ref="A588" ca="1">"aN_PREC_2_" &amp; INDIRECT("F" &amp; ROW(C588) - 11) &amp; "_p"</f>
        <v>aN_PREC_2_4_6_p</v>
      </c>
      <c r="B588">
        <v>0</v>
      </c>
      <c r="C588" t="s">
        <v>5</v>
      </c>
    </row>
    <row r="589" spans="1:8" x14ac:dyDescent="0.25">
      <c r="A589" t="str" cm="1">
        <f t="array" aca="1" ref="A589" ca="1">"aN_PREC_3_" &amp; INDIRECT("F" &amp; ROW(C589) - 12) &amp; "_p"</f>
        <v>aN_PREC_3_4_6_p</v>
      </c>
      <c r="B589">
        <v>2</v>
      </c>
      <c r="C589" t="s">
        <v>6</v>
      </c>
    </row>
    <row r="590" spans="1:8" x14ac:dyDescent="0.25">
      <c r="A590" s="5" t="s">
        <v>9</v>
      </c>
      <c r="F590" s="27"/>
      <c r="G590" s="27"/>
      <c r="H590" s="27"/>
    </row>
    <row r="591" spans="1:8" x14ac:dyDescent="0.25">
      <c r="A591" t="str" cm="1">
        <f t="array" aca="1" ref="A591" ca="1">"aN_SL_1_" &amp; INDIRECT("F" &amp; ROW(C591) - 14) &amp; "_p"</f>
        <v>aN_SL_1_4_6_p</v>
      </c>
      <c r="B591">
        <v>0</v>
      </c>
      <c r="C591" t="s">
        <v>4</v>
      </c>
    </row>
    <row r="592" spans="1:8" x14ac:dyDescent="0.25">
      <c r="A592" t="str" cm="1">
        <f t="array" aca="1" ref="A592" ca="1">"aN_SL_2_" &amp; INDIRECT("F" &amp; ROW(C592) - 15) &amp; "_p"</f>
        <v>aN_SL_2_4_6_p</v>
      </c>
      <c r="B592">
        <v>0</v>
      </c>
      <c r="C592" t="s">
        <v>5</v>
      </c>
    </row>
    <row r="593" spans="1:6" x14ac:dyDescent="0.25">
      <c r="A593" t="str" cm="1">
        <f t="array" aca="1" ref="A593" ca="1">"aN_SL_3_" &amp; INDIRECT("F" &amp; ROW(C593) - 16) &amp; "_p"</f>
        <v>aN_SL_3_4_6_p</v>
      </c>
      <c r="B593">
        <v>2</v>
      </c>
      <c r="C593" t="s">
        <v>6</v>
      </c>
    </row>
    <row r="594" spans="1:6" x14ac:dyDescent="0.25">
      <c r="A594" s="5" t="s">
        <v>95</v>
      </c>
    </row>
    <row r="595" spans="1:6" x14ac:dyDescent="0.25">
      <c r="A595" t="str" cm="1">
        <f t="array" aca="1" ref="A595" ca="1">"aN_DRO_1_" &amp; INDIRECT("F" &amp; ROW(C595) - 18) &amp; "_p"</f>
        <v>aN_DRO_1_4_6_p</v>
      </c>
      <c r="B595">
        <v>0.01</v>
      </c>
      <c r="C595" t="s">
        <v>4</v>
      </c>
    </row>
    <row r="596" spans="1:6" x14ac:dyDescent="0.25">
      <c r="A596" t="str" cm="1">
        <f t="array" aca="1" ref="A596" ca="1">"aN_DRO_2_" &amp; INDIRECT("F" &amp; ROW(C596) - 19) &amp; "_p"</f>
        <v>aN_DRO_2_4_6_p</v>
      </c>
      <c r="B596">
        <v>0</v>
      </c>
      <c r="C596" t="s">
        <v>5</v>
      </c>
    </row>
    <row r="597" spans="1:6" x14ac:dyDescent="0.25">
      <c r="A597" t="str" cm="1">
        <f t="array" aca="1" ref="A597" ca="1">"aN_DRO_3_" &amp; INDIRECT("F" &amp; ROW(C597) - 20) &amp; "_p"</f>
        <v>aN_DRO_3_4_6_p</v>
      </c>
      <c r="B597">
        <v>2</v>
      </c>
      <c r="C597" t="s">
        <v>6</v>
      </c>
    </row>
    <row r="598" spans="1:6" x14ac:dyDescent="0.25">
      <c r="A598" s="5" t="s">
        <v>96</v>
      </c>
    </row>
    <row r="599" spans="1:6" x14ac:dyDescent="0.25">
      <c r="A599" t="str" cm="1">
        <f t="array" aca="1" ref="A599" ca="1">"aN_CYC_1_" &amp; INDIRECT("F" &amp; ROW(C599) - 22) &amp; "_p"</f>
        <v>aN_CYC_1_4_6_p</v>
      </c>
      <c r="B599">
        <v>0</v>
      </c>
      <c r="C599" t="s">
        <v>4</v>
      </c>
    </row>
    <row r="600" spans="1:6" x14ac:dyDescent="0.25">
      <c r="A600" t="str" cm="1">
        <f t="array" aca="1" ref="A600" ca="1">"aN_CYC_2_" &amp; INDIRECT("F" &amp; ROW(C600) - 23) &amp; "_p"</f>
        <v>aN_CYC_2_4_6_p</v>
      </c>
      <c r="B600">
        <v>0</v>
      </c>
      <c r="C600" t="s">
        <v>5</v>
      </c>
    </row>
    <row r="601" spans="1:6" x14ac:dyDescent="0.25">
      <c r="A601" t="str" cm="1">
        <f t="array" aca="1" ref="A601" ca="1">"aN_CYC_3_" &amp; INDIRECT("F" &amp; ROW(C601) - 24) &amp; "_p"</f>
        <v>aN_CYC_3_4_6_p</v>
      </c>
      <c r="B601">
        <v>2</v>
      </c>
      <c r="C601" t="s">
        <v>6</v>
      </c>
    </row>
    <row r="602" spans="1:6" x14ac:dyDescent="0.25">
      <c r="A602" s="26" t="str">
        <f>"sector " &amp; D602 &amp; " and region " &amp;E602</f>
        <v>sector 5 and region 1</v>
      </c>
      <c r="B602" s="26"/>
      <c r="C602" s="26"/>
      <c r="D602" s="24">
        <v>5</v>
      </c>
      <c r="E602" s="24">
        <v>1</v>
      </c>
      <c r="F602" s="24" t="str">
        <f>D602 &amp; "_" &amp; E602</f>
        <v>5_1</v>
      </c>
    </row>
    <row r="603" spans="1:6" x14ac:dyDescent="0.25">
      <c r="A603" s="5" t="s">
        <v>3</v>
      </c>
    </row>
    <row r="604" spans="1:6" x14ac:dyDescent="0.25">
      <c r="A604" t="str" cm="1">
        <f t="array" aca="1" ref="A604" ca="1">"aN_T_1_" &amp; INDIRECT("F" &amp; ROW(C604)-2) &amp; "_p"</f>
        <v>aN_T_1_5_1_p</v>
      </c>
      <c r="B604">
        <v>0</v>
      </c>
      <c r="C604" t="s">
        <v>4</v>
      </c>
    </row>
    <row r="605" spans="1:6" x14ac:dyDescent="0.25">
      <c r="A605" t="str" cm="1">
        <f t="array" aca="1" ref="A605" ca="1">"aN_T_2_" &amp; INDIRECT("F" &amp; ROW(C605)-3) &amp; "_p"</f>
        <v>aN_T_2_5_1_p</v>
      </c>
      <c r="B605">
        <v>0</v>
      </c>
      <c r="C605" t="s">
        <v>5</v>
      </c>
    </row>
    <row r="606" spans="1:6" x14ac:dyDescent="0.25">
      <c r="A606" t="str" cm="1">
        <f t="array" aca="1" ref="A606" ca="1">"aN_T_3_" &amp; INDIRECT("F" &amp; ROW(C606)-4) &amp; "_p"</f>
        <v>aN_T_3_5_1_p</v>
      </c>
      <c r="B606">
        <v>2</v>
      </c>
      <c r="C606" t="s">
        <v>6</v>
      </c>
    </row>
    <row r="607" spans="1:6" x14ac:dyDescent="0.25">
      <c r="A607" s="5" t="s">
        <v>8</v>
      </c>
    </row>
    <row r="608" spans="1:6" x14ac:dyDescent="0.25">
      <c r="A608" t="str" cm="1">
        <f t="array" aca="1" ref="A608" ca="1">"aN_WS_1_" &amp; INDIRECT("F" &amp; ROW(C608)-6) &amp; "_p"</f>
        <v>aN_WS_1_5_1_p</v>
      </c>
      <c r="B608">
        <v>0</v>
      </c>
      <c r="C608" t="s">
        <v>4</v>
      </c>
    </row>
    <row r="609" spans="1:8" x14ac:dyDescent="0.25">
      <c r="A609" t="str" cm="1">
        <f t="array" aca="1" ref="A609" ca="1">"aN_WS_2_" &amp; INDIRECT("F" &amp; ROW(C609)-7) &amp; "_p"</f>
        <v>aN_WS_2_5_1_p</v>
      </c>
      <c r="B609">
        <v>0</v>
      </c>
      <c r="C609" t="s">
        <v>5</v>
      </c>
    </row>
    <row r="610" spans="1:8" x14ac:dyDescent="0.25">
      <c r="A610" t="str" cm="1">
        <f t="array" aca="1" ref="A610" ca="1">"aN_WS_3_" &amp; INDIRECT("F" &amp; ROW(C610)-8) &amp; "_p"</f>
        <v>aN_WS_3_5_1_p</v>
      </c>
      <c r="B610">
        <v>2</v>
      </c>
      <c r="C610" t="s">
        <v>6</v>
      </c>
    </row>
    <row r="611" spans="1:8" x14ac:dyDescent="0.25">
      <c r="A611" s="5" t="s">
        <v>7</v>
      </c>
      <c r="F611" s="27"/>
      <c r="G611" s="27"/>
      <c r="H611" s="27"/>
    </row>
    <row r="612" spans="1:8" x14ac:dyDescent="0.25">
      <c r="A612" t="str" cm="1">
        <f t="array" aca="1" ref="A612" ca="1">"aN_PREC_1_" &amp; INDIRECT("F" &amp; ROW(C612) - 10) &amp; "_p"</f>
        <v>aN_PREC_1_5_1_p</v>
      </c>
      <c r="B612">
        <v>0</v>
      </c>
      <c r="C612" t="s">
        <v>4</v>
      </c>
    </row>
    <row r="613" spans="1:8" x14ac:dyDescent="0.25">
      <c r="A613" t="str" cm="1">
        <f t="array" aca="1" ref="A613" ca="1">"aN_PREC_2_" &amp; INDIRECT("F" &amp; ROW(C613) - 11) &amp; "_p"</f>
        <v>aN_PREC_2_5_1_p</v>
      </c>
      <c r="B613">
        <v>0</v>
      </c>
      <c r="C613" t="s">
        <v>5</v>
      </c>
    </row>
    <row r="614" spans="1:8" x14ac:dyDescent="0.25">
      <c r="A614" t="str" cm="1">
        <f t="array" aca="1" ref="A614" ca="1">"aN_PREC_3_" &amp; INDIRECT("F" &amp; ROW(C614) - 12) &amp; "_p"</f>
        <v>aN_PREC_3_5_1_p</v>
      </c>
      <c r="B614">
        <v>2</v>
      </c>
      <c r="C614" t="s">
        <v>6</v>
      </c>
    </row>
    <row r="615" spans="1:8" x14ac:dyDescent="0.25">
      <c r="A615" s="5" t="s">
        <v>9</v>
      </c>
      <c r="F615" s="27"/>
      <c r="G615" s="27"/>
      <c r="H615" s="27"/>
    </row>
    <row r="616" spans="1:8" x14ac:dyDescent="0.25">
      <c r="A616" t="str" cm="1">
        <f t="array" aca="1" ref="A616" ca="1">"aN_SL_1_" &amp; INDIRECT("F" &amp; ROW(C616) - 14) &amp; "_p"</f>
        <v>aN_SL_1_5_1_p</v>
      </c>
      <c r="B616">
        <v>0</v>
      </c>
      <c r="C616" t="s">
        <v>4</v>
      </c>
    </row>
    <row r="617" spans="1:8" x14ac:dyDescent="0.25">
      <c r="A617" t="str" cm="1">
        <f t="array" aca="1" ref="A617" ca="1">"aN_SL_2_" &amp; INDIRECT("F" &amp; ROW(C617) - 15) &amp; "_p"</f>
        <v>aN_SL_2_5_1_p</v>
      </c>
      <c r="B617">
        <v>0</v>
      </c>
      <c r="C617" t="s">
        <v>5</v>
      </c>
    </row>
    <row r="618" spans="1:8" x14ac:dyDescent="0.25">
      <c r="A618" t="str" cm="1">
        <f t="array" aca="1" ref="A618" ca="1">"aN_SL_3_" &amp; INDIRECT("F" &amp; ROW(C618) - 16) &amp; "_p"</f>
        <v>aN_SL_3_5_1_p</v>
      </c>
      <c r="B618">
        <v>2</v>
      </c>
      <c r="C618" t="s">
        <v>6</v>
      </c>
    </row>
    <row r="619" spans="1:8" x14ac:dyDescent="0.25">
      <c r="A619" s="5" t="s">
        <v>95</v>
      </c>
    </row>
    <row r="620" spans="1:8" x14ac:dyDescent="0.25">
      <c r="A620" t="str" cm="1">
        <f t="array" aca="1" ref="A620" ca="1">"aN_DRO_1_" &amp; INDIRECT("F" &amp; ROW(C620) - 18) &amp; "_p"</f>
        <v>aN_DRO_1_5_1_p</v>
      </c>
      <c r="B620">
        <v>0.01</v>
      </c>
      <c r="C620" t="s">
        <v>4</v>
      </c>
    </row>
    <row r="621" spans="1:8" x14ac:dyDescent="0.25">
      <c r="A621" t="str" cm="1">
        <f t="array" aca="1" ref="A621" ca="1">"aN_DRO_2_" &amp; INDIRECT("F" &amp; ROW(C621) - 19) &amp; "_p"</f>
        <v>aN_DRO_2_5_1_p</v>
      </c>
      <c r="B621">
        <v>0</v>
      </c>
      <c r="C621" t="s">
        <v>5</v>
      </c>
    </row>
    <row r="622" spans="1:8" x14ac:dyDescent="0.25">
      <c r="A622" t="str" cm="1">
        <f t="array" aca="1" ref="A622" ca="1">"aN_DRO_3_" &amp; INDIRECT("F" &amp; ROW(C622) - 20) &amp; "_p"</f>
        <v>aN_DRO_3_5_1_p</v>
      </c>
      <c r="B622">
        <v>2</v>
      </c>
      <c r="C622" t="s">
        <v>6</v>
      </c>
    </row>
    <row r="623" spans="1:8" x14ac:dyDescent="0.25">
      <c r="A623" s="5" t="s">
        <v>96</v>
      </c>
    </row>
    <row r="624" spans="1:8" x14ac:dyDescent="0.25">
      <c r="A624" t="str" cm="1">
        <f t="array" aca="1" ref="A624" ca="1">"aN_CYC_1_" &amp; INDIRECT("F" &amp; ROW(C624) - 22) &amp; "_p"</f>
        <v>aN_CYC_1_5_1_p</v>
      </c>
      <c r="B624">
        <v>0</v>
      </c>
      <c r="C624" t="s">
        <v>4</v>
      </c>
    </row>
    <row r="625" spans="1:8" x14ac:dyDescent="0.25">
      <c r="A625" t="str" cm="1">
        <f t="array" aca="1" ref="A625" ca="1">"aN_CYC_2_" &amp; INDIRECT("F" &amp; ROW(C625) - 23) &amp; "_p"</f>
        <v>aN_CYC_2_5_1_p</v>
      </c>
      <c r="B625">
        <v>0</v>
      </c>
      <c r="C625" t="s">
        <v>5</v>
      </c>
    </row>
    <row r="626" spans="1:8" x14ac:dyDescent="0.25">
      <c r="A626" t="str" cm="1">
        <f t="array" aca="1" ref="A626" ca="1">"aN_CYC_3_" &amp; INDIRECT("F" &amp; ROW(C626) - 24) &amp; "_p"</f>
        <v>aN_CYC_3_5_1_p</v>
      </c>
      <c r="B626">
        <v>2</v>
      </c>
      <c r="C626" t="s">
        <v>6</v>
      </c>
    </row>
    <row r="627" spans="1:8" x14ac:dyDescent="0.25">
      <c r="A627" s="26" t="str">
        <f>"sector " &amp; D627 &amp; " and region " &amp;E627</f>
        <v>sector 5 and region 2</v>
      </c>
      <c r="B627" s="26"/>
      <c r="C627" s="26"/>
      <c r="D627" s="24">
        <v>5</v>
      </c>
      <c r="E627" s="24">
        <v>2</v>
      </c>
      <c r="F627" s="24" t="str">
        <f>D627 &amp; "_" &amp; E627</f>
        <v>5_2</v>
      </c>
    </row>
    <row r="628" spans="1:8" x14ac:dyDescent="0.25">
      <c r="A628" s="5" t="s">
        <v>3</v>
      </c>
    </row>
    <row r="629" spans="1:8" x14ac:dyDescent="0.25">
      <c r="A629" t="str" cm="1">
        <f t="array" aca="1" ref="A629" ca="1">"aN_T_1_" &amp; INDIRECT("F" &amp; ROW(C629)-2) &amp; "_p"</f>
        <v>aN_T_1_5_2_p</v>
      </c>
      <c r="B629">
        <v>0</v>
      </c>
      <c r="C629" t="s">
        <v>4</v>
      </c>
    </row>
    <row r="630" spans="1:8" x14ac:dyDescent="0.25">
      <c r="A630" t="str" cm="1">
        <f t="array" aca="1" ref="A630" ca="1">"aN_T_2_" &amp; INDIRECT("F" &amp; ROW(C630)-3) &amp; "_p"</f>
        <v>aN_T_2_5_2_p</v>
      </c>
      <c r="B630">
        <v>0</v>
      </c>
      <c r="C630" t="s">
        <v>5</v>
      </c>
    </row>
    <row r="631" spans="1:8" x14ac:dyDescent="0.25">
      <c r="A631" t="str" cm="1">
        <f t="array" aca="1" ref="A631" ca="1">"aN_T_3_" &amp; INDIRECT("F" &amp; ROW(C631)-4) &amp; "_p"</f>
        <v>aN_T_3_5_2_p</v>
      </c>
      <c r="B631">
        <v>2</v>
      </c>
      <c r="C631" t="s">
        <v>6</v>
      </c>
    </row>
    <row r="632" spans="1:8" x14ac:dyDescent="0.25">
      <c r="A632" s="5" t="s">
        <v>8</v>
      </c>
    </row>
    <row r="633" spans="1:8" x14ac:dyDescent="0.25">
      <c r="A633" t="str" cm="1">
        <f t="array" aca="1" ref="A633" ca="1">"aN_WS_1_" &amp; INDIRECT("F" &amp; ROW(C633)-6) &amp; "_p"</f>
        <v>aN_WS_1_5_2_p</v>
      </c>
      <c r="B633">
        <v>0</v>
      </c>
      <c r="C633" t="s">
        <v>4</v>
      </c>
    </row>
    <row r="634" spans="1:8" x14ac:dyDescent="0.25">
      <c r="A634" t="str" cm="1">
        <f t="array" aca="1" ref="A634" ca="1">"aN_WS_2_" &amp; INDIRECT("F" &amp; ROW(C634)-7) &amp; "_p"</f>
        <v>aN_WS_2_5_2_p</v>
      </c>
      <c r="B634">
        <v>0</v>
      </c>
      <c r="C634" t="s">
        <v>5</v>
      </c>
    </row>
    <row r="635" spans="1:8" x14ac:dyDescent="0.25">
      <c r="A635" t="str" cm="1">
        <f t="array" aca="1" ref="A635" ca="1">"aN_WS_3_" &amp; INDIRECT("F" &amp; ROW(C635)-8) &amp; "_p"</f>
        <v>aN_WS_3_5_2_p</v>
      </c>
      <c r="B635">
        <v>2</v>
      </c>
      <c r="C635" t="s">
        <v>6</v>
      </c>
    </row>
    <row r="636" spans="1:8" x14ac:dyDescent="0.25">
      <c r="A636" s="5" t="s">
        <v>7</v>
      </c>
      <c r="F636" s="27"/>
      <c r="G636" s="27"/>
      <c r="H636" s="27"/>
    </row>
    <row r="637" spans="1:8" x14ac:dyDescent="0.25">
      <c r="A637" t="str" cm="1">
        <f t="array" aca="1" ref="A637" ca="1">"aN_PREC_1_" &amp; INDIRECT("F" &amp; ROW(C637) - 10) &amp; "_p"</f>
        <v>aN_PREC_1_5_2_p</v>
      </c>
      <c r="B637">
        <v>0</v>
      </c>
      <c r="C637" t="s">
        <v>4</v>
      </c>
    </row>
    <row r="638" spans="1:8" x14ac:dyDescent="0.25">
      <c r="A638" t="str" cm="1">
        <f t="array" aca="1" ref="A638" ca="1">"aN_PREC_2_" &amp; INDIRECT("F" &amp; ROW(C638) - 11) &amp; "_p"</f>
        <v>aN_PREC_2_5_2_p</v>
      </c>
      <c r="B638">
        <v>0</v>
      </c>
      <c r="C638" t="s">
        <v>5</v>
      </c>
    </row>
    <row r="639" spans="1:8" x14ac:dyDescent="0.25">
      <c r="A639" t="str" cm="1">
        <f t="array" aca="1" ref="A639" ca="1">"aN_PREC_3_" &amp; INDIRECT("F" &amp; ROW(C639) - 12) &amp; "_p"</f>
        <v>aN_PREC_3_5_2_p</v>
      </c>
      <c r="B639">
        <v>2</v>
      </c>
      <c r="C639" t="s">
        <v>6</v>
      </c>
    </row>
    <row r="640" spans="1:8" x14ac:dyDescent="0.25">
      <c r="A640" s="5" t="s">
        <v>9</v>
      </c>
      <c r="F640" s="27"/>
      <c r="G640" s="27"/>
      <c r="H640" s="27"/>
    </row>
    <row r="641" spans="1:6" x14ac:dyDescent="0.25">
      <c r="A641" t="str" cm="1">
        <f t="array" aca="1" ref="A641" ca="1">"aN_SL_1_" &amp; INDIRECT("F" &amp; ROW(C641) - 14) &amp; "_p"</f>
        <v>aN_SL_1_5_2_p</v>
      </c>
      <c r="B641">
        <v>0</v>
      </c>
      <c r="C641" t="s">
        <v>4</v>
      </c>
    </row>
    <row r="642" spans="1:6" x14ac:dyDescent="0.25">
      <c r="A642" t="str" cm="1">
        <f t="array" aca="1" ref="A642" ca="1">"aN_SL_2_" &amp; INDIRECT("F" &amp; ROW(C642) - 15) &amp; "_p"</f>
        <v>aN_SL_2_5_2_p</v>
      </c>
      <c r="B642">
        <v>0</v>
      </c>
      <c r="C642" t="s">
        <v>5</v>
      </c>
    </row>
    <row r="643" spans="1:6" x14ac:dyDescent="0.25">
      <c r="A643" t="str" cm="1">
        <f t="array" aca="1" ref="A643" ca="1">"aN_SL_3_" &amp; INDIRECT("F" &amp; ROW(C643) - 16) &amp; "_p"</f>
        <v>aN_SL_3_5_2_p</v>
      </c>
      <c r="B643">
        <v>2</v>
      </c>
      <c r="C643" t="s">
        <v>6</v>
      </c>
    </row>
    <row r="644" spans="1:6" x14ac:dyDescent="0.25">
      <c r="A644" s="5" t="s">
        <v>95</v>
      </c>
    </row>
    <row r="645" spans="1:6" x14ac:dyDescent="0.25">
      <c r="A645" t="str" cm="1">
        <f t="array" aca="1" ref="A645" ca="1">"aN_DRO_1_" &amp; INDIRECT("F" &amp; ROW(C645) - 18) &amp; "_p"</f>
        <v>aN_DRO_1_5_2_p</v>
      </c>
      <c r="B645">
        <v>0.01</v>
      </c>
      <c r="C645" t="s">
        <v>4</v>
      </c>
    </row>
    <row r="646" spans="1:6" x14ac:dyDescent="0.25">
      <c r="A646" t="str" cm="1">
        <f t="array" aca="1" ref="A646" ca="1">"aN_DRO_2_" &amp; INDIRECT("F" &amp; ROW(C646) - 19) &amp; "_p"</f>
        <v>aN_DRO_2_5_2_p</v>
      </c>
      <c r="B646">
        <v>0</v>
      </c>
      <c r="C646" t="s">
        <v>5</v>
      </c>
    </row>
    <row r="647" spans="1:6" x14ac:dyDescent="0.25">
      <c r="A647" t="str" cm="1">
        <f t="array" aca="1" ref="A647" ca="1">"aN_DRO_3_" &amp; INDIRECT("F" &amp; ROW(C647) - 20) &amp; "_p"</f>
        <v>aN_DRO_3_5_2_p</v>
      </c>
      <c r="B647">
        <v>2</v>
      </c>
      <c r="C647" t="s">
        <v>6</v>
      </c>
    </row>
    <row r="648" spans="1:6" x14ac:dyDescent="0.25">
      <c r="A648" s="5" t="s">
        <v>96</v>
      </c>
    </row>
    <row r="649" spans="1:6" x14ac:dyDescent="0.25">
      <c r="A649" t="str" cm="1">
        <f t="array" aca="1" ref="A649" ca="1">"aN_CYC_1_" &amp; INDIRECT("F" &amp; ROW(C649) - 22) &amp; "_p"</f>
        <v>aN_CYC_1_5_2_p</v>
      </c>
      <c r="B649">
        <v>0</v>
      </c>
      <c r="C649" t="s">
        <v>4</v>
      </c>
    </row>
    <row r="650" spans="1:6" x14ac:dyDescent="0.25">
      <c r="A650" t="str" cm="1">
        <f t="array" aca="1" ref="A650" ca="1">"aN_CYC_2_" &amp; INDIRECT("F" &amp; ROW(C650) - 23) &amp; "_p"</f>
        <v>aN_CYC_2_5_2_p</v>
      </c>
      <c r="B650">
        <v>0</v>
      </c>
      <c r="C650" t="s">
        <v>5</v>
      </c>
    </row>
    <row r="651" spans="1:6" x14ac:dyDescent="0.25">
      <c r="A651" t="str" cm="1">
        <f t="array" aca="1" ref="A651" ca="1">"aN_CYC_3_" &amp; INDIRECT("F" &amp; ROW(C651) - 24) &amp; "_p"</f>
        <v>aN_CYC_3_5_2_p</v>
      </c>
      <c r="B651">
        <v>2</v>
      </c>
      <c r="C651" t="s">
        <v>6</v>
      </c>
    </row>
    <row r="652" spans="1:6" x14ac:dyDescent="0.25">
      <c r="A652" s="26" t="str">
        <f>"sector " &amp; D652 &amp; " and region " &amp;E652</f>
        <v>sector 5 and region 3</v>
      </c>
      <c r="B652" s="26"/>
      <c r="C652" s="26"/>
      <c r="D652" s="24">
        <v>5</v>
      </c>
      <c r="E652" s="24">
        <v>3</v>
      </c>
      <c r="F652" s="24" t="str">
        <f>D652 &amp; "_" &amp; E652</f>
        <v>5_3</v>
      </c>
    </row>
    <row r="653" spans="1:6" x14ac:dyDescent="0.25">
      <c r="A653" s="5" t="s">
        <v>3</v>
      </c>
    </row>
    <row r="654" spans="1:6" x14ac:dyDescent="0.25">
      <c r="A654" t="str" cm="1">
        <f t="array" aca="1" ref="A654" ca="1">"aN_T_1_" &amp; INDIRECT("F" &amp; ROW(C654)-2) &amp; "_p"</f>
        <v>aN_T_1_5_3_p</v>
      </c>
      <c r="B654">
        <v>0</v>
      </c>
      <c r="C654" t="s">
        <v>4</v>
      </c>
    </row>
    <row r="655" spans="1:6" x14ac:dyDescent="0.25">
      <c r="A655" t="str" cm="1">
        <f t="array" aca="1" ref="A655" ca="1">"aN_T_2_" &amp; INDIRECT("F" &amp; ROW(C655)-3) &amp; "_p"</f>
        <v>aN_T_2_5_3_p</v>
      </c>
      <c r="B655">
        <v>0</v>
      </c>
      <c r="C655" t="s">
        <v>5</v>
      </c>
    </row>
    <row r="656" spans="1:6" x14ac:dyDescent="0.25">
      <c r="A656" t="str" cm="1">
        <f t="array" aca="1" ref="A656" ca="1">"aN_T_3_" &amp; INDIRECT("F" &amp; ROW(C656)-4) &amp; "_p"</f>
        <v>aN_T_3_5_3_p</v>
      </c>
      <c r="B656">
        <v>2</v>
      </c>
      <c r="C656" t="s">
        <v>6</v>
      </c>
    </row>
    <row r="657" spans="1:8" x14ac:dyDescent="0.25">
      <c r="A657" s="5" t="s">
        <v>8</v>
      </c>
    </row>
    <row r="658" spans="1:8" x14ac:dyDescent="0.25">
      <c r="A658" t="str" cm="1">
        <f t="array" aca="1" ref="A658" ca="1">"aN_WS_1_" &amp; INDIRECT("F" &amp; ROW(C658)-6) &amp; "_p"</f>
        <v>aN_WS_1_5_3_p</v>
      </c>
      <c r="B658">
        <v>0</v>
      </c>
      <c r="C658" t="s">
        <v>4</v>
      </c>
    </row>
    <row r="659" spans="1:8" x14ac:dyDescent="0.25">
      <c r="A659" t="str" cm="1">
        <f t="array" aca="1" ref="A659" ca="1">"aN_WS_2_" &amp; INDIRECT("F" &amp; ROW(C659)-7) &amp; "_p"</f>
        <v>aN_WS_2_5_3_p</v>
      </c>
      <c r="B659">
        <v>0</v>
      </c>
      <c r="C659" t="s">
        <v>5</v>
      </c>
    </row>
    <row r="660" spans="1:8" x14ac:dyDescent="0.25">
      <c r="A660" t="str" cm="1">
        <f t="array" aca="1" ref="A660" ca="1">"aN_WS_3_" &amp; INDIRECT("F" &amp; ROW(C660)-8) &amp; "_p"</f>
        <v>aN_WS_3_5_3_p</v>
      </c>
      <c r="B660">
        <v>2</v>
      </c>
      <c r="C660" t="s">
        <v>6</v>
      </c>
    </row>
    <row r="661" spans="1:8" x14ac:dyDescent="0.25">
      <c r="A661" s="5" t="s">
        <v>7</v>
      </c>
      <c r="F661" s="27"/>
      <c r="G661" s="27"/>
      <c r="H661" s="27"/>
    </row>
    <row r="662" spans="1:8" x14ac:dyDescent="0.25">
      <c r="A662" t="str" cm="1">
        <f t="array" aca="1" ref="A662" ca="1">"aN_PREC_1_" &amp; INDIRECT("F" &amp; ROW(C662) - 10) &amp; "_p"</f>
        <v>aN_PREC_1_5_3_p</v>
      </c>
      <c r="B662">
        <v>0</v>
      </c>
      <c r="C662" t="s">
        <v>4</v>
      </c>
    </row>
    <row r="663" spans="1:8" x14ac:dyDescent="0.25">
      <c r="A663" t="str" cm="1">
        <f t="array" aca="1" ref="A663" ca="1">"aN_PREC_2_" &amp; INDIRECT("F" &amp; ROW(C663) - 11) &amp; "_p"</f>
        <v>aN_PREC_2_5_3_p</v>
      </c>
      <c r="B663">
        <v>0</v>
      </c>
      <c r="C663" t="s">
        <v>5</v>
      </c>
    </row>
    <row r="664" spans="1:8" x14ac:dyDescent="0.25">
      <c r="A664" t="str" cm="1">
        <f t="array" aca="1" ref="A664" ca="1">"aN_PREC_3_" &amp; INDIRECT("F" &amp; ROW(C664) - 12) &amp; "_p"</f>
        <v>aN_PREC_3_5_3_p</v>
      </c>
      <c r="B664">
        <v>2</v>
      </c>
      <c r="C664" t="s">
        <v>6</v>
      </c>
    </row>
    <row r="665" spans="1:8" x14ac:dyDescent="0.25">
      <c r="A665" s="5" t="s">
        <v>9</v>
      </c>
      <c r="F665" s="27"/>
      <c r="G665" s="27"/>
      <c r="H665" s="27"/>
    </row>
    <row r="666" spans="1:8" x14ac:dyDescent="0.25">
      <c r="A666" t="str" cm="1">
        <f t="array" aca="1" ref="A666" ca="1">"aN_SL_1_" &amp; INDIRECT("F" &amp; ROW(C666) - 14) &amp; "_p"</f>
        <v>aN_SL_1_5_3_p</v>
      </c>
      <c r="B666">
        <v>0</v>
      </c>
      <c r="C666" t="s">
        <v>4</v>
      </c>
    </row>
    <row r="667" spans="1:8" x14ac:dyDescent="0.25">
      <c r="A667" t="str" cm="1">
        <f t="array" aca="1" ref="A667" ca="1">"aN_SL_2_" &amp; INDIRECT("F" &amp; ROW(C667) - 15) &amp; "_p"</f>
        <v>aN_SL_2_5_3_p</v>
      </c>
      <c r="B667">
        <v>0</v>
      </c>
      <c r="C667" t="s">
        <v>5</v>
      </c>
    </row>
    <row r="668" spans="1:8" x14ac:dyDescent="0.25">
      <c r="A668" t="str" cm="1">
        <f t="array" aca="1" ref="A668" ca="1">"aN_SL_3_" &amp; INDIRECT("F" &amp; ROW(C668) - 16) &amp; "_p"</f>
        <v>aN_SL_3_5_3_p</v>
      </c>
      <c r="B668">
        <v>2</v>
      </c>
      <c r="C668" t="s">
        <v>6</v>
      </c>
    </row>
    <row r="669" spans="1:8" x14ac:dyDescent="0.25">
      <c r="A669" s="5" t="s">
        <v>95</v>
      </c>
    </row>
    <row r="670" spans="1:8" x14ac:dyDescent="0.25">
      <c r="A670" t="str" cm="1">
        <f t="array" aca="1" ref="A670" ca="1">"aN_DRO_1_" &amp; INDIRECT("F" &amp; ROW(C670) - 18) &amp; "_p"</f>
        <v>aN_DRO_1_5_3_p</v>
      </c>
      <c r="B670">
        <v>0.01</v>
      </c>
      <c r="C670" t="s">
        <v>4</v>
      </c>
    </row>
    <row r="671" spans="1:8" x14ac:dyDescent="0.25">
      <c r="A671" t="str" cm="1">
        <f t="array" aca="1" ref="A671" ca="1">"aN_DRO_2_" &amp; INDIRECT("F" &amp; ROW(C671) - 19) &amp; "_p"</f>
        <v>aN_DRO_2_5_3_p</v>
      </c>
      <c r="B671">
        <v>0</v>
      </c>
      <c r="C671" t="s">
        <v>5</v>
      </c>
    </row>
    <row r="672" spans="1:8" x14ac:dyDescent="0.25">
      <c r="A672" t="str" cm="1">
        <f t="array" aca="1" ref="A672" ca="1">"aN_DRO_3_" &amp; INDIRECT("F" &amp; ROW(C672) - 20) &amp; "_p"</f>
        <v>aN_DRO_3_5_3_p</v>
      </c>
      <c r="B672">
        <v>2</v>
      </c>
      <c r="C672" t="s">
        <v>6</v>
      </c>
    </row>
    <row r="673" spans="1:8" x14ac:dyDescent="0.25">
      <c r="A673" s="5" t="s">
        <v>96</v>
      </c>
    </row>
    <row r="674" spans="1:8" x14ac:dyDescent="0.25">
      <c r="A674" t="str" cm="1">
        <f t="array" aca="1" ref="A674" ca="1">"aN_CYC_1_" &amp; INDIRECT("F" &amp; ROW(C674) - 22) &amp; "_p"</f>
        <v>aN_CYC_1_5_3_p</v>
      </c>
      <c r="B674">
        <v>0</v>
      </c>
      <c r="C674" t="s">
        <v>4</v>
      </c>
    </row>
    <row r="675" spans="1:8" x14ac:dyDescent="0.25">
      <c r="A675" t="str" cm="1">
        <f t="array" aca="1" ref="A675" ca="1">"aN_CYC_2_" &amp; INDIRECT("F" &amp; ROW(C675) - 23) &amp; "_p"</f>
        <v>aN_CYC_2_5_3_p</v>
      </c>
      <c r="B675">
        <v>0</v>
      </c>
      <c r="C675" t="s">
        <v>5</v>
      </c>
    </row>
    <row r="676" spans="1:8" x14ac:dyDescent="0.25">
      <c r="A676" t="str" cm="1">
        <f t="array" aca="1" ref="A676" ca="1">"aN_CYC_3_" &amp; INDIRECT("F" &amp; ROW(C676) - 24) &amp; "_p"</f>
        <v>aN_CYC_3_5_3_p</v>
      </c>
      <c r="B676">
        <v>2</v>
      </c>
      <c r="C676" t="s">
        <v>6</v>
      </c>
    </row>
    <row r="677" spans="1:8" x14ac:dyDescent="0.25">
      <c r="A677" s="26" t="str">
        <f>"sector " &amp; D677 &amp; " and region " &amp;E677</f>
        <v>sector 5 and region 4</v>
      </c>
      <c r="B677" s="26"/>
      <c r="C677" s="26"/>
      <c r="D677" s="24">
        <v>5</v>
      </c>
      <c r="E677" s="24">
        <v>4</v>
      </c>
      <c r="F677" s="24" t="str">
        <f>D677 &amp; "_" &amp; E677</f>
        <v>5_4</v>
      </c>
    </row>
    <row r="678" spans="1:8" x14ac:dyDescent="0.25">
      <c r="A678" s="5" t="s">
        <v>3</v>
      </c>
    </row>
    <row r="679" spans="1:8" x14ac:dyDescent="0.25">
      <c r="A679" t="str" cm="1">
        <f t="array" aca="1" ref="A679" ca="1">"aN_T_1_" &amp; INDIRECT("F" &amp; ROW(C679)-2) &amp; "_p"</f>
        <v>aN_T_1_5_4_p</v>
      </c>
      <c r="B679">
        <v>0</v>
      </c>
      <c r="C679" t="s">
        <v>4</v>
      </c>
    </row>
    <row r="680" spans="1:8" x14ac:dyDescent="0.25">
      <c r="A680" t="str" cm="1">
        <f t="array" aca="1" ref="A680" ca="1">"aN_T_2_" &amp; INDIRECT("F" &amp; ROW(C680)-3) &amp; "_p"</f>
        <v>aN_T_2_5_4_p</v>
      </c>
      <c r="B680">
        <v>0</v>
      </c>
      <c r="C680" t="s">
        <v>5</v>
      </c>
    </row>
    <row r="681" spans="1:8" x14ac:dyDescent="0.25">
      <c r="A681" t="str" cm="1">
        <f t="array" aca="1" ref="A681" ca="1">"aN_T_3_" &amp; INDIRECT("F" &amp; ROW(C681)-4) &amp; "_p"</f>
        <v>aN_T_3_5_4_p</v>
      </c>
      <c r="B681">
        <v>2</v>
      </c>
      <c r="C681" t="s">
        <v>6</v>
      </c>
    </row>
    <row r="682" spans="1:8" x14ac:dyDescent="0.25">
      <c r="A682" s="5" t="s">
        <v>8</v>
      </c>
    </row>
    <row r="683" spans="1:8" x14ac:dyDescent="0.25">
      <c r="A683" t="str" cm="1">
        <f t="array" aca="1" ref="A683" ca="1">"aN_WS_1_" &amp; INDIRECT("F" &amp; ROW(C683)-6) &amp; "_p"</f>
        <v>aN_WS_1_5_4_p</v>
      </c>
      <c r="B683">
        <v>0</v>
      </c>
      <c r="C683" t="s">
        <v>4</v>
      </c>
    </row>
    <row r="684" spans="1:8" x14ac:dyDescent="0.25">
      <c r="A684" t="str" cm="1">
        <f t="array" aca="1" ref="A684" ca="1">"aN_WS_2_" &amp; INDIRECT("F" &amp; ROW(C684)-7) &amp; "_p"</f>
        <v>aN_WS_2_5_4_p</v>
      </c>
      <c r="B684">
        <v>0</v>
      </c>
      <c r="C684" t="s">
        <v>5</v>
      </c>
    </row>
    <row r="685" spans="1:8" x14ac:dyDescent="0.25">
      <c r="A685" t="str" cm="1">
        <f t="array" aca="1" ref="A685" ca="1">"aN_WS_3_" &amp; INDIRECT("F" &amp; ROW(C685)-8) &amp; "_p"</f>
        <v>aN_WS_3_5_4_p</v>
      </c>
      <c r="B685">
        <v>2</v>
      </c>
      <c r="C685" t="s">
        <v>6</v>
      </c>
    </row>
    <row r="686" spans="1:8" x14ac:dyDescent="0.25">
      <c r="A686" s="5" t="s">
        <v>7</v>
      </c>
      <c r="F686" s="27"/>
      <c r="G686" s="27"/>
      <c r="H686" s="27"/>
    </row>
    <row r="687" spans="1:8" x14ac:dyDescent="0.25">
      <c r="A687" t="str" cm="1">
        <f t="array" aca="1" ref="A687" ca="1">"aN_PREC_1_" &amp; INDIRECT("F" &amp; ROW(C687) - 10) &amp; "_p"</f>
        <v>aN_PREC_1_5_4_p</v>
      </c>
      <c r="B687">
        <v>0</v>
      </c>
      <c r="C687" t="s">
        <v>4</v>
      </c>
    </row>
    <row r="688" spans="1:8" x14ac:dyDescent="0.25">
      <c r="A688" t="str" cm="1">
        <f t="array" aca="1" ref="A688" ca="1">"aN_PREC_2_" &amp; INDIRECT("F" &amp; ROW(C688) - 11) &amp; "_p"</f>
        <v>aN_PREC_2_5_4_p</v>
      </c>
      <c r="B688">
        <v>0</v>
      </c>
      <c r="C688" t="s">
        <v>5</v>
      </c>
    </row>
    <row r="689" spans="1:8" x14ac:dyDescent="0.25">
      <c r="A689" t="str" cm="1">
        <f t="array" aca="1" ref="A689" ca="1">"aN_PREC_3_" &amp; INDIRECT("F" &amp; ROW(C689) - 12) &amp; "_p"</f>
        <v>aN_PREC_3_5_4_p</v>
      </c>
      <c r="B689">
        <v>2</v>
      </c>
      <c r="C689" t="s">
        <v>6</v>
      </c>
    </row>
    <row r="690" spans="1:8" x14ac:dyDescent="0.25">
      <c r="A690" s="5" t="s">
        <v>9</v>
      </c>
      <c r="F690" s="27"/>
      <c r="G690" s="27"/>
      <c r="H690" s="27"/>
    </row>
    <row r="691" spans="1:8" x14ac:dyDescent="0.25">
      <c r="A691" t="str" cm="1">
        <f t="array" aca="1" ref="A691" ca="1">"aN_SL_1_" &amp; INDIRECT("F" &amp; ROW(C691) - 14) &amp; "_p"</f>
        <v>aN_SL_1_5_4_p</v>
      </c>
      <c r="B691">
        <v>0</v>
      </c>
      <c r="C691" t="s">
        <v>4</v>
      </c>
    </row>
    <row r="692" spans="1:8" x14ac:dyDescent="0.25">
      <c r="A692" t="str" cm="1">
        <f t="array" aca="1" ref="A692" ca="1">"aN_SL_2_" &amp; INDIRECT("F" &amp; ROW(C692) - 15) &amp; "_p"</f>
        <v>aN_SL_2_5_4_p</v>
      </c>
      <c r="B692">
        <v>0</v>
      </c>
      <c r="C692" t="s">
        <v>5</v>
      </c>
    </row>
    <row r="693" spans="1:8" x14ac:dyDescent="0.25">
      <c r="A693" t="str" cm="1">
        <f t="array" aca="1" ref="A693" ca="1">"aN_SL_3_" &amp; INDIRECT("F" &amp; ROW(C693) - 16) &amp; "_p"</f>
        <v>aN_SL_3_5_4_p</v>
      </c>
      <c r="B693">
        <v>2</v>
      </c>
      <c r="C693" t="s">
        <v>6</v>
      </c>
    </row>
    <row r="694" spans="1:8" x14ac:dyDescent="0.25">
      <c r="A694" s="5" t="s">
        <v>95</v>
      </c>
    </row>
    <row r="695" spans="1:8" x14ac:dyDescent="0.25">
      <c r="A695" t="str" cm="1">
        <f t="array" aca="1" ref="A695" ca="1">"aN_DRO_1_" &amp; INDIRECT("F" &amp; ROW(C695) - 18) &amp; "_p"</f>
        <v>aN_DRO_1_5_4_p</v>
      </c>
      <c r="B695">
        <v>0.01</v>
      </c>
      <c r="C695" t="s">
        <v>4</v>
      </c>
    </row>
    <row r="696" spans="1:8" x14ac:dyDescent="0.25">
      <c r="A696" t="str" cm="1">
        <f t="array" aca="1" ref="A696" ca="1">"aN_DRO_2_" &amp; INDIRECT("F" &amp; ROW(C696) - 19) &amp; "_p"</f>
        <v>aN_DRO_2_5_4_p</v>
      </c>
      <c r="B696">
        <v>0</v>
      </c>
      <c r="C696" t="s">
        <v>5</v>
      </c>
    </row>
    <row r="697" spans="1:8" x14ac:dyDescent="0.25">
      <c r="A697" t="str" cm="1">
        <f t="array" aca="1" ref="A697" ca="1">"aN_DRO_3_" &amp; INDIRECT("F" &amp; ROW(C697) - 20) &amp; "_p"</f>
        <v>aN_DRO_3_5_4_p</v>
      </c>
      <c r="B697">
        <v>2</v>
      </c>
      <c r="C697" t="s">
        <v>6</v>
      </c>
    </row>
    <row r="698" spans="1:8" x14ac:dyDescent="0.25">
      <c r="A698" s="5" t="s">
        <v>96</v>
      </c>
    </row>
    <row r="699" spans="1:8" x14ac:dyDescent="0.25">
      <c r="A699" t="str" cm="1">
        <f t="array" aca="1" ref="A699" ca="1">"aN_CYC_1_" &amp; INDIRECT("F" &amp; ROW(C699) - 22) &amp; "_p"</f>
        <v>aN_CYC_1_5_4_p</v>
      </c>
      <c r="B699">
        <v>0</v>
      </c>
      <c r="C699" t="s">
        <v>4</v>
      </c>
    </row>
    <row r="700" spans="1:8" x14ac:dyDescent="0.25">
      <c r="A700" t="str" cm="1">
        <f t="array" aca="1" ref="A700" ca="1">"aN_CYC_2_" &amp; INDIRECT("F" &amp; ROW(C700) - 23) &amp; "_p"</f>
        <v>aN_CYC_2_5_4_p</v>
      </c>
      <c r="B700">
        <v>0</v>
      </c>
      <c r="C700" t="s">
        <v>5</v>
      </c>
    </row>
    <row r="701" spans="1:8" x14ac:dyDescent="0.25">
      <c r="A701" t="str" cm="1">
        <f t="array" aca="1" ref="A701" ca="1">"aN_CYC_3_" &amp; INDIRECT("F" &amp; ROW(C701) - 24) &amp; "_p"</f>
        <v>aN_CYC_3_5_4_p</v>
      </c>
      <c r="B701">
        <v>2</v>
      </c>
      <c r="C701" t="s">
        <v>6</v>
      </c>
    </row>
    <row r="702" spans="1:8" x14ac:dyDescent="0.25">
      <c r="A702" s="26" t="str">
        <f>"sector " &amp; D702 &amp; " and region " &amp;E702</f>
        <v>sector 5 and region 5</v>
      </c>
      <c r="B702" s="26"/>
      <c r="C702" s="26"/>
      <c r="D702" s="24">
        <v>5</v>
      </c>
      <c r="E702" s="24">
        <v>5</v>
      </c>
      <c r="F702" s="24" t="str">
        <f>D702 &amp; "_" &amp; E702</f>
        <v>5_5</v>
      </c>
    </row>
    <row r="703" spans="1:8" x14ac:dyDescent="0.25">
      <c r="A703" s="5" t="s">
        <v>3</v>
      </c>
    </row>
    <row r="704" spans="1:8" x14ac:dyDescent="0.25">
      <c r="A704" t="str" cm="1">
        <f t="array" aca="1" ref="A704" ca="1">"aN_T_1_" &amp; INDIRECT("F" &amp; ROW(C704)-2) &amp; "_p"</f>
        <v>aN_T_1_5_5_p</v>
      </c>
      <c r="B704">
        <v>0</v>
      </c>
      <c r="C704" t="s">
        <v>4</v>
      </c>
    </row>
    <row r="705" spans="1:8" x14ac:dyDescent="0.25">
      <c r="A705" t="str" cm="1">
        <f t="array" aca="1" ref="A705" ca="1">"aN_T_2_" &amp; INDIRECT("F" &amp; ROW(C705)-3) &amp; "_p"</f>
        <v>aN_T_2_5_5_p</v>
      </c>
      <c r="B705">
        <v>0</v>
      </c>
      <c r="C705" t="s">
        <v>5</v>
      </c>
    </row>
    <row r="706" spans="1:8" x14ac:dyDescent="0.25">
      <c r="A706" t="str" cm="1">
        <f t="array" aca="1" ref="A706" ca="1">"aN_T_3_" &amp; INDIRECT("F" &amp; ROW(C706)-4) &amp; "_p"</f>
        <v>aN_T_3_5_5_p</v>
      </c>
      <c r="B706">
        <v>2</v>
      </c>
      <c r="C706" t="s">
        <v>6</v>
      </c>
    </row>
    <row r="707" spans="1:8" x14ac:dyDescent="0.25">
      <c r="A707" s="5" t="s">
        <v>8</v>
      </c>
    </row>
    <row r="708" spans="1:8" x14ac:dyDescent="0.25">
      <c r="A708" t="str" cm="1">
        <f t="array" aca="1" ref="A708" ca="1">"aN_WS_1_" &amp; INDIRECT("F" &amp; ROW(C708)-6) &amp; "_p"</f>
        <v>aN_WS_1_5_5_p</v>
      </c>
      <c r="B708">
        <v>0</v>
      </c>
      <c r="C708" t="s">
        <v>4</v>
      </c>
    </row>
    <row r="709" spans="1:8" x14ac:dyDescent="0.25">
      <c r="A709" t="str" cm="1">
        <f t="array" aca="1" ref="A709" ca="1">"aN_WS_2_" &amp; INDIRECT("F" &amp; ROW(C709)-7) &amp; "_p"</f>
        <v>aN_WS_2_5_5_p</v>
      </c>
      <c r="B709">
        <v>0</v>
      </c>
      <c r="C709" t="s">
        <v>5</v>
      </c>
    </row>
    <row r="710" spans="1:8" x14ac:dyDescent="0.25">
      <c r="A710" t="str" cm="1">
        <f t="array" aca="1" ref="A710" ca="1">"aN_WS_3_" &amp; INDIRECT("F" &amp; ROW(C710)-8) &amp; "_p"</f>
        <v>aN_WS_3_5_5_p</v>
      </c>
      <c r="B710">
        <v>2</v>
      </c>
      <c r="C710" t="s">
        <v>6</v>
      </c>
    </row>
    <row r="711" spans="1:8" x14ac:dyDescent="0.25">
      <c r="A711" s="5" t="s">
        <v>7</v>
      </c>
      <c r="F711" s="27"/>
      <c r="G711" s="27"/>
      <c r="H711" s="27"/>
    </row>
    <row r="712" spans="1:8" x14ac:dyDescent="0.25">
      <c r="A712" t="str" cm="1">
        <f t="array" aca="1" ref="A712" ca="1">"aN_PREC_1_" &amp; INDIRECT("F" &amp; ROW(C712) - 10) &amp; "_p"</f>
        <v>aN_PREC_1_5_5_p</v>
      </c>
      <c r="B712">
        <v>0</v>
      </c>
      <c r="C712" t="s">
        <v>4</v>
      </c>
    </row>
    <row r="713" spans="1:8" x14ac:dyDescent="0.25">
      <c r="A713" t="str" cm="1">
        <f t="array" aca="1" ref="A713" ca="1">"aN_PREC_2_" &amp; INDIRECT("F" &amp; ROW(C713) - 11) &amp; "_p"</f>
        <v>aN_PREC_2_5_5_p</v>
      </c>
      <c r="B713">
        <v>0</v>
      </c>
      <c r="C713" t="s">
        <v>5</v>
      </c>
    </row>
    <row r="714" spans="1:8" x14ac:dyDescent="0.25">
      <c r="A714" t="str" cm="1">
        <f t="array" aca="1" ref="A714" ca="1">"aN_PREC_3_" &amp; INDIRECT("F" &amp; ROW(C714) - 12) &amp; "_p"</f>
        <v>aN_PREC_3_5_5_p</v>
      </c>
      <c r="B714">
        <v>2</v>
      </c>
      <c r="C714" t="s">
        <v>6</v>
      </c>
    </row>
    <row r="715" spans="1:8" x14ac:dyDescent="0.25">
      <c r="A715" s="5" t="s">
        <v>9</v>
      </c>
      <c r="F715" s="27"/>
      <c r="G715" s="27"/>
      <c r="H715" s="27"/>
    </row>
    <row r="716" spans="1:8" x14ac:dyDescent="0.25">
      <c r="A716" t="str" cm="1">
        <f t="array" aca="1" ref="A716" ca="1">"aN_SL_1_" &amp; INDIRECT("F" &amp; ROW(C716) - 14) &amp; "_p"</f>
        <v>aN_SL_1_5_5_p</v>
      </c>
      <c r="B716">
        <v>0</v>
      </c>
      <c r="C716" t="s">
        <v>4</v>
      </c>
    </row>
    <row r="717" spans="1:8" x14ac:dyDescent="0.25">
      <c r="A717" t="str" cm="1">
        <f t="array" aca="1" ref="A717" ca="1">"aN_SL_2_" &amp; INDIRECT("F" &amp; ROW(C717) - 15) &amp; "_p"</f>
        <v>aN_SL_2_5_5_p</v>
      </c>
      <c r="B717">
        <v>0</v>
      </c>
      <c r="C717" t="s">
        <v>5</v>
      </c>
    </row>
    <row r="718" spans="1:8" x14ac:dyDescent="0.25">
      <c r="A718" t="str" cm="1">
        <f t="array" aca="1" ref="A718" ca="1">"aN_SL_3_" &amp; INDIRECT("F" &amp; ROW(C718) - 16) &amp; "_p"</f>
        <v>aN_SL_3_5_5_p</v>
      </c>
      <c r="B718">
        <v>2</v>
      </c>
      <c r="C718" t="s">
        <v>6</v>
      </c>
    </row>
    <row r="719" spans="1:8" x14ac:dyDescent="0.25">
      <c r="A719" s="5" t="s">
        <v>95</v>
      </c>
    </row>
    <row r="720" spans="1:8" x14ac:dyDescent="0.25">
      <c r="A720" t="str" cm="1">
        <f t="array" aca="1" ref="A720" ca="1">"aN_DRO_1_" &amp; INDIRECT("F" &amp; ROW(C720) - 18) &amp; "_p"</f>
        <v>aN_DRO_1_5_5_p</v>
      </c>
      <c r="B720">
        <v>0.01</v>
      </c>
      <c r="C720" t="s">
        <v>4</v>
      </c>
    </row>
    <row r="721" spans="1:8" x14ac:dyDescent="0.25">
      <c r="A721" t="str" cm="1">
        <f t="array" aca="1" ref="A721" ca="1">"aN_DRO_2_" &amp; INDIRECT("F" &amp; ROW(C721) - 19) &amp; "_p"</f>
        <v>aN_DRO_2_5_5_p</v>
      </c>
      <c r="B721">
        <v>0</v>
      </c>
      <c r="C721" t="s">
        <v>5</v>
      </c>
    </row>
    <row r="722" spans="1:8" x14ac:dyDescent="0.25">
      <c r="A722" t="str" cm="1">
        <f t="array" aca="1" ref="A722" ca="1">"aN_DRO_3_" &amp; INDIRECT("F" &amp; ROW(C722) - 20) &amp; "_p"</f>
        <v>aN_DRO_3_5_5_p</v>
      </c>
      <c r="B722">
        <v>2</v>
      </c>
      <c r="C722" t="s">
        <v>6</v>
      </c>
    </row>
    <row r="723" spans="1:8" x14ac:dyDescent="0.25">
      <c r="A723" s="5" t="s">
        <v>96</v>
      </c>
    </row>
    <row r="724" spans="1:8" x14ac:dyDescent="0.25">
      <c r="A724" t="str" cm="1">
        <f t="array" aca="1" ref="A724" ca="1">"aN_CYC_1_" &amp; INDIRECT("F" &amp; ROW(C724) - 22) &amp; "_p"</f>
        <v>aN_CYC_1_5_5_p</v>
      </c>
      <c r="B724">
        <v>0</v>
      </c>
      <c r="C724" t="s">
        <v>4</v>
      </c>
    </row>
    <row r="725" spans="1:8" x14ac:dyDescent="0.25">
      <c r="A725" t="str" cm="1">
        <f t="array" aca="1" ref="A725" ca="1">"aN_CYC_2_" &amp; INDIRECT("F" &amp; ROW(C725) - 23) &amp; "_p"</f>
        <v>aN_CYC_2_5_5_p</v>
      </c>
      <c r="B725">
        <v>0</v>
      </c>
      <c r="C725" t="s">
        <v>5</v>
      </c>
    </row>
    <row r="726" spans="1:8" x14ac:dyDescent="0.25">
      <c r="A726" t="str" cm="1">
        <f t="array" aca="1" ref="A726" ca="1">"aN_CYC_3_" &amp; INDIRECT("F" &amp; ROW(C726) - 24) &amp; "_p"</f>
        <v>aN_CYC_3_5_5_p</v>
      </c>
      <c r="B726">
        <v>2</v>
      </c>
      <c r="C726" t="s">
        <v>6</v>
      </c>
    </row>
    <row r="727" spans="1:8" x14ac:dyDescent="0.25">
      <c r="A727" s="26" t="str">
        <f>"sector " &amp; D727 &amp; " and region " &amp;E727</f>
        <v>sector 5 and region 6</v>
      </c>
      <c r="B727" s="26"/>
      <c r="C727" s="26"/>
      <c r="D727" s="24">
        <v>5</v>
      </c>
      <c r="E727" s="24">
        <v>6</v>
      </c>
      <c r="F727" s="24" t="str">
        <f>D727 &amp; "_" &amp; E727</f>
        <v>5_6</v>
      </c>
    </row>
    <row r="728" spans="1:8" x14ac:dyDescent="0.25">
      <c r="A728" s="5" t="s">
        <v>3</v>
      </c>
    </row>
    <row r="729" spans="1:8" x14ac:dyDescent="0.25">
      <c r="A729" t="str" cm="1">
        <f t="array" aca="1" ref="A729" ca="1">"aN_T_1_" &amp; INDIRECT("F" &amp; ROW(C729)-2) &amp; "_p"</f>
        <v>aN_T_1_5_6_p</v>
      </c>
      <c r="B729">
        <v>0</v>
      </c>
      <c r="C729" t="s">
        <v>4</v>
      </c>
    </row>
    <row r="730" spans="1:8" x14ac:dyDescent="0.25">
      <c r="A730" t="str" cm="1">
        <f t="array" aca="1" ref="A730" ca="1">"aN_T_2_" &amp; INDIRECT("F" &amp; ROW(C730)-3) &amp; "_p"</f>
        <v>aN_T_2_5_6_p</v>
      </c>
      <c r="B730">
        <v>0</v>
      </c>
      <c r="C730" t="s">
        <v>5</v>
      </c>
    </row>
    <row r="731" spans="1:8" x14ac:dyDescent="0.25">
      <c r="A731" t="str" cm="1">
        <f t="array" aca="1" ref="A731" ca="1">"aN_T_3_" &amp; INDIRECT("F" &amp; ROW(C731)-4) &amp; "_p"</f>
        <v>aN_T_3_5_6_p</v>
      </c>
      <c r="B731">
        <v>2</v>
      </c>
      <c r="C731" t="s">
        <v>6</v>
      </c>
    </row>
    <row r="732" spans="1:8" x14ac:dyDescent="0.25">
      <c r="A732" s="5" t="s">
        <v>8</v>
      </c>
    </row>
    <row r="733" spans="1:8" x14ac:dyDescent="0.25">
      <c r="A733" t="str" cm="1">
        <f t="array" aca="1" ref="A733" ca="1">"aN_WS_1_" &amp; INDIRECT("F" &amp; ROW(C733)-6) &amp; "_p"</f>
        <v>aN_WS_1_5_6_p</v>
      </c>
      <c r="B733">
        <v>0</v>
      </c>
      <c r="C733" t="s">
        <v>4</v>
      </c>
    </row>
    <row r="734" spans="1:8" x14ac:dyDescent="0.25">
      <c r="A734" t="str" cm="1">
        <f t="array" aca="1" ref="A734" ca="1">"aN_WS_2_" &amp; INDIRECT("F" &amp; ROW(C734)-7) &amp; "_p"</f>
        <v>aN_WS_2_5_6_p</v>
      </c>
      <c r="B734">
        <v>0</v>
      </c>
      <c r="C734" t="s">
        <v>5</v>
      </c>
    </row>
    <row r="735" spans="1:8" x14ac:dyDescent="0.25">
      <c r="A735" t="str" cm="1">
        <f t="array" aca="1" ref="A735" ca="1">"aN_WS_3_" &amp; INDIRECT("F" &amp; ROW(C735)-8) &amp; "_p"</f>
        <v>aN_WS_3_5_6_p</v>
      </c>
      <c r="B735">
        <v>2</v>
      </c>
      <c r="C735" t="s">
        <v>6</v>
      </c>
    </row>
    <row r="736" spans="1:8" x14ac:dyDescent="0.25">
      <c r="A736" s="5" t="s">
        <v>7</v>
      </c>
      <c r="F736" s="27"/>
      <c r="G736" s="27"/>
      <c r="H736" s="27"/>
    </row>
    <row r="737" spans="1:8" x14ac:dyDescent="0.25">
      <c r="A737" t="str" cm="1">
        <f t="array" aca="1" ref="A737" ca="1">"aN_PREC_1_" &amp; INDIRECT("F" &amp; ROW(C737) - 10) &amp; "_p"</f>
        <v>aN_PREC_1_5_6_p</v>
      </c>
      <c r="B737">
        <v>0</v>
      </c>
      <c r="C737" t="s">
        <v>4</v>
      </c>
    </row>
    <row r="738" spans="1:8" x14ac:dyDescent="0.25">
      <c r="A738" t="str" cm="1">
        <f t="array" aca="1" ref="A738" ca="1">"aN_PREC_2_" &amp; INDIRECT("F" &amp; ROW(C738) - 11) &amp; "_p"</f>
        <v>aN_PREC_2_5_6_p</v>
      </c>
      <c r="B738">
        <v>0</v>
      </c>
      <c r="C738" t="s">
        <v>5</v>
      </c>
    </row>
    <row r="739" spans="1:8" x14ac:dyDescent="0.25">
      <c r="A739" t="str" cm="1">
        <f t="array" aca="1" ref="A739" ca="1">"aN_PREC_3_" &amp; INDIRECT("F" &amp; ROW(C739) - 12) &amp; "_p"</f>
        <v>aN_PREC_3_5_6_p</v>
      </c>
      <c r="B739">
        <v>2</v>
      </c>
      <c r="C739" t="s">
        <v>6</v>
      </c>
    </row>
    <row r="740" spans="1:8" x14ac:dyDescent="0.25">
      <c r="A740" s="5" t="s">
        <v>9</v>
      </c>
      <c r="F740" s="27"/>
      <c r="G740" s="27"/>
      <c r="H740" s="27"/>
    </row>
    <row r="741" spans="1:8" x14ac:dyDescent="0.25">
      <c r="A741" t="str" cm="1">
        <f t="array" aca="1" ref="A741" ca="1">"aN_SL_1_" &amp; INDIRECT("F" &amp; ROW(C741) - 14) &amp; "_p"</f>
        <v>aN_SL_1_5_6_p</v>
      </c>
      <c r="B741">
        <v>0</v>
      </c>
      <c r="C741" t="s">
        <v>4</v>
      </c>
    </row>
    <row r="742" spans="1:8" x14ac:dyDescent="0.25">
      <c r="A742" t="str" cm="1">
        <f t="array" aca="1" ref="A742" ca="1">"aN_SL_2_" &amp; INDIRECT("F" &amp; ROW(C742) - 15) &amp; "_p"</f>
        <v>aN_SL_2_5_6_p</v>
      </c>
      <c r="B742">
        <v>0</v>
      </c>
      <c r="C742" t="s">
        <v>5</v>
      </c>
    </row>
    <row r="743" spans="1:8" x14ac:dyDescent="0.25">
      <c r="A743" t="str" cm="1">
        <f t="array" aca="1" ref="A743" ca="1">"aN_SL_3_" &amp; INDIRECT("F" &amp; ROW(C743) - 16) &amp; "_p"</f>
        <v>aN_SL_3_5_6_p</v>
      </c>
      <c r="B743">
        <v>2</v>
      </c>
      <c r="C743" t="s">
        <v>6</v>
      </c>
    </row>
    <row r="744" spans="1:8" x14ac:dyDescent="0.25">
      <c r="A744" s="5" t="s">
        <v>95</v>
      </c>
    </row>
    <row r="745" spans="1:8" x14ac:dyDescent="0.25">
      <c r="A745" t="str" cm="1">
        <f t="array" aca="1" ref="A745" ca="1">"aN_DRO_1_" &amp; INDIRECT("F" &amp; ROW(C745) - 18) &amp; "_p"</f>
        <v>aN_DRO_1_5_6_p</v>
      </c>
      <c r="B745">
        <v>0.01</v>
      </c>
      <c r="C745" t="s">
        <v>4</v>
      </c>
    </row>
    <row r="746" spans="1:8" x14ac:dyDescent="0.25">
      <c r="A746" t="str" cm="1">
        <f t="array" aca="1" ref="A746" ca="1">"aN_DRO_2_" &amp; INDIRECT("F" &amp; ROW(C746) - 19) &amp; "_p"</f>
        <v>aN_DRO_2_5_6_p</v>
      </c>
      <c r="B746">
        <v>0</v>
      </c>
      <c r="C746" t="s">
        <v>5</v>
      </c>
    </row>
    <row r="747" spans="1:8" x14ac:dyDescent="0.25">
      <c r="A747" t="str" cm="1">
        <f t="array" aca="1" ref="A747" ca="1">"aN_DRO_3_" &amp; INDIRECT("F" &amp; ROW(C747) - 20) &amp; "_p"</f>
        <v>aN_DRO_3_5_6_p</v>
      </c>
      <c r="B747">
        <v>2</v>
      </c>
      <c r="C747" t="s">
        <v>6</v>
      </c>
    </row>
    <row r="748" spans="1:8" x14ac:dyDescent="0.25">
      <c r="A748" s="5" t="s">
        <v>96</v>
      </c>
    </row>
    <row r="749" spans="1:8" x14ac:dyDescent="0.25">
      <c r="A749" t="str" cm="1">
        <f t="array" aca="1" ref="A749" ca="1">"aN_CYC_1_" &amp; INDIRECT("F" &amp; ROW(C749) - 22) &amp; "_p"</f>
        <v>aN_CYC_1_5_6_p</v>
      </c>
      <c r="B749">
        <v>0</v>
      </c>
      <c r="C749" t="s">
        <v>4</v>
      </c>
    </row>
    <row r="750" spans="1:8" x14ac:dyDescent="0.25">
      <c r="A750" t="str" cm="1">
        <f t="array" aca="1" ref="A750" ca="1">"aN_CYC_2_" &amp; INDIRECT("F" &amp; ROW(C750) - 23) &amp; "_p"</f>
        <v>aN_CYC_2_5_6_p</v>
      </c>
      <c r="B750">
        <v>0</v>
      </c>
      <c r="C750" t="s">
        <v>5</v>
      </c>
    </row>
    <row r="751" spans="1:8" x14ac:dyDescent="0.25">
      <c r="A751" t="str" cm="1">
        <f t="array" aca="1" ref="A751" ca="1">"aN_CYC_3_" &amp; INDIRECT("F" &amp; ROW(C751) - 24) &amp; "_p"</f>
        <v>aN_CYC_3_5_6_p</v>
      </c>
      <c r="B751">
        <v>2</v>
      </c>
      <c r="C751" t="s">
        <v>6</v>
      </c>
    </row>
    <row r="752" spans="1:8" x14ac:dyDescent="0.25">
      <c r="A752" s="26" t="str">
        <f>"sector " &amp; D752 &amp; " and region " &amp;E752</f>
        <v>sector 6 and region 1</v>
      </c>
      <c r="B752" s="26"/>
      <c r="C752" s="26"/>
      <c r="D752" s="24">
        <v>6</v>
      </c>
      <c r="E752" s="24">
        <v>1</v>
      </c>
      <c r="F752" s="24" t="str">
        <f>D752 &amp; "_" &amp; E752</f>
        <v>6_1</v>
      </c>
    </row>
    <row r="753" spans="1:8" x14ac:dyDescent="0.25">
      <c r="A753" s="5" t="s">
        <v>3</v>
      </c>
    </row>
    <row r="754" spans="1:8" x14ac:dyDescent="0.25">
      <c r="A754" t="str" cm="1">
        <f t="array" aca="1" ref="A754" ca="1">"aN_T_1_" &amp; INDIRECT("F" &amp; ROW(C754)-2) &amp; "_p"</f>
        <v>aN_T_1_6_1_p</v>
      </c>
      <c r="B754">
        <v>0</v>
      </c>
      <c r="C754" t="s">
        <v>4</v>
      </c>
    </row>
    <row r="755" spans="1:8" x14ac:dyDescent="0.25">
      <c r="A755" t="str" cm="1">
        <f t="array" aca="1" ref="A755" ca="1">"aN_T_2_" &amp; INDIRECT("F" &amp; ROW(C755)-3) &amp; "_p"</f>
        <v>aN_T_2_6_1_p</v>
      </c>
      <c r="B755">
        <v>0</v>
      </c>
      <c r="C755" t="s">
        <v>5</v>
      </c>
    </row>
    <row r="756" spans="1:8" x14ac:dyDescent="0.25">
      <c r="A756" t="str" cm="1">
        <f t="array" aca="1" ref="A756" ca="1">"aN_T_3_" &amp; INDIRECT("F" &amp; ROW(C756)-4) &amp; "_p"</f>
        <v>aN_T_3_6_1_p</v>
      </c>
      <c r="B756">
        <v>2</v>
      </c>
      <c r="C756" t="s">
        <v>6</v>
      </c>
    </row>
    <row r="757" spans="1:8" x14ac:dyDescent="0.25">
      <c r="A757" s="5" t="s">
        <v>8</v>
      </c>
    </row>
    <row r="758" spans="1:8" x14ac:dyDescent="0.25">
      <c r="A758" t="str" cm="1">
        <f t="array" aca="1" ref="A758" ca="1">"aN_WS_1_" &amp; INDIRECT("F" &amp; ROW(C758)-6) &amp; "_p"</f>
        <v>aN_WS_1_6_1_p</v>
      </c>
      <c r="B758">
        <v>0</v>
      </c>
      <c r="C758" t="s">
        <v>4</v>
      </c>
    </row>
    <row r="759" spans="1:8" x14ac:dyDescent="0.25">
      <c r="A759" t="str" cm="1">
        <f t="array" aca="1" ref="A759" ca="1">"aN_WS_2_" &amp; INDIRECT("F" &amp; ROW(C759)-7) &amp; "_p"</f>
        <v>aN_WS_2_6_1_p</v>
      </c>
      <c r="B759">
        <v>0</v>
      </c>
      <c r="C759" t="s">
        <v>5</v>
      </c>
    </row>
    <row r="760" spans="1:8" x14ac:dyDescent="0.25">
      <c r="A760" t="str" cm="1">
        <f t="array" aca="1" ref="A760" ca="1">"aN_WS_3_" &amp; INDIRECT("F" &amp; ROW(C760)-8) &amp; "_p"</f>
        <v>aN_WS_3_6_1_p</v>
      </c>
      <c r="B760">
        <v>2</v>
      </c>
      <c r="C760" t="s">
        <v>6</v>
      </c>
    </row>
    <row r="761" spans="1:8" x14ac:dyDescent="0.25">
      <c r="A761" s="5" t="s">
        <v>7</v>
      </c>
      <c r="F761" s="27"/>
      <c r="G761" s="27"/>
      <c r="H761" s="27"/>
    </row>
    <row r="762" spans="1:8" x14ac:dyDescent="0.25">
      <c r="A762" t="str" cm="1">
        <f t="array" aca="1" ref="A762" ca="1">"aN_PREC_1_" &amp; INDIRECT("F" &amp; ROW(C762) - 10) &amp; "_p"</f>
        <v>aN_PREC_1_6_1_p</v>
      </c>
      <c r="B762">
        <v>0</v>
      </c>
      <c r="C762" t="s">
        <v>4</v>
      </c>
    </row>
    <row r="763" spans="1:8" x14ac:dyDescent="0.25">
      <c r="A763" t="str" cm="1">
        <f t="array" aca="1" ref="A763" ca="1">"aN_PREC_2_" &amp; INDIRECT("F" &amp; ROW(C763) - 11) &amp; "_p"</f>
        <v>aN_PREC_2_6_1_p</v>
      </c>
      <c r="B763">
        <v>0</v>
      </c>
      <c r="C763" t="s">
        <v>5</v>
      </c>
    </row>
    <row r="764" spans="1:8" x14ac:dyDescent="0.25">
      <c r="A764" t="str" cm="1">
        <f t="array" aca="1" ref="A764" ca="1">"aN_PREC_3_" &amp; INDIRECT("F" &amp; ROW(C764) - 12) &amp; "_p"</f>
        <v>aN_PREC_3_6_1_p</v>
      </c>
      <c r="B764">
        <v>2</v>
      </c>
      <c r="C764" t="s">
        <v>6</v>
      </c>
    </row>
    <row r="765" spans="1:8" x14ac:dyDescent="0.25">
      <c r="A765" s="5" t="s">
        <v>9</v>
      </c>
      <c r="F765" s="27"/>
      <c r="G765" s="27"/>
      <c r="H765" s="27"/>
    </row>
    <row r="766" spans="1:8" x14ac:dyDescent="0.25">
      <c r="A766" t="str" cm="1">
        <f t="array" aca="1" ref="A766" ca="1">"aN_SL_1_" &amp; INDIRECT("F" &amp; ROW(C766) - 14) &amp; "_p"</f>
        <v>aN_SL_1_6_1_p</v>
      </c>
      <c r="B766">
        <v>0</v>
      </c>
      <c r="C766" t="s">
        <v>4</v>
      </c>
    </row>
    <row r="767" spans="1:8" x14ac:dyDescent="0.25">
      <c r="A767" t="str" cm="1">
        <f t="array" aca="1" ref="A767" ca="1">"aN_SL_2_" &amp; INDIRECT("F" &amp; ROW(C767) - 15) &amp; "_p"</f>
        <v>aN_SL_2_6_1_p</v>
      </c>
      <c r="B767">
        <v>0</v>
      </c>
      <c r="C767" t="s">
        <v>5</v>
      </c>
    </row>
    <row r="768" spans="1:8" x14ac:dyDescent="0.25">
      <c r="A768" t="str" cm="1">
        <f t="array" aca="1" ref="A768" ca="1">"aN_SL_3_" &amp; INDIRECT("F" &amp; ROW(C768) - 16) &amp; "_p"</f>
        <v>aN_SL_3_6_1_p</v>
      </c>
      <c r="B768">
        <v>2</v>
      </c>
      <c r="C768" t="s">
        <v>6</v>
      </c>
    </row>
    <row r="769" spans="1:6" x14ac:dyDescent="0.25">
      <c r="A769" s="5" t="s">
        <v>95</v>
      </c>
    </row>
    <row r="770" spans="1:6" x14ac:dyDescent="0.25">
      <c r="A770" t="str" cm="1">
        <f t="array" aca="1" ref="A770" ca="1">"aN_DRO_1_" &amp; INDIRECT("F" &amp; ROW(C770) - 18) &amp; "_p"</f>
        <v>aN_DRO_1_6_1_p</v>
      </c>
      <c r="B770">
        <v>0.01</v>
      </c>
      <c r="C770" t="s">
        <v>4</v>
      </c>
    </row>
    <row r="771" spans="1:6" x14ac:dyDescent="0.25">
      <c r="A771" t="str" cm="1">
        <f t="array" aca="1" ref="A771" ca="1">"aN_DRO_2_" &amp; INDIRECT("F" &amp; ROW(C771) - 19) &amp; "_p"</f>
        <v>aN_DRO_2_6_1_p</v>
      </c>
      <c r="B771">
        <v>0</v>
      </c>
      <c r="C771" t="s">
        <v>5</v>
      </c>
    </row>
    <row r="772" spans="1:6" x14ac:dyDescent="0.25">
      <c r="A772" t="str" cm="1">
        <f t="array" aca="1" ref="A772" ca="1">"aN_DRO_3_" &amp; INDIRECT("F" &amp; ROW(C772) - 20) &amp; "_p"</f>
        <v>aN_DRO_3_6_1_p</v>
      </c>
      <c r="B772">
        <v>2</v>
      </c>
      <c r="C772" t="s">
        <v>6</v>
      </c>
    </row>
    <row r="773" spans="1:6" x14ac:dyDescent="0.25">
      <c r="A773" s="5" t="s">
        <v>96</v>
      </c>
    </row>
    <row r="774" spans="1:6" x14ac:dyDescent="0.25">
      <c r="A774" t="str" cm="1">
        <f t="array" aca="1" ref="A774" ca="1">"aN_CYC_1_" &amp; INDIRECT("F" &amp; ROW(C774) - 22) &amp; "_p"</f>
        <v>aN_CYC_1_6_1_p</v>
      </c>
      <c r="B774">
        <v>0</v>
      </c>
      <c r="C774" t="s">
        <v>4</v>
      </c>
    </row>
    <row r="775" spans="1:6" x14ac:dyDescent="0.25">
      <c r="A775" t="str" cm="1">
        <f t="array" aca="1" ref="A775" ca="1">"aN_CYC_2_" &amp; INDIRECT("F" &amp; ROW(C775) - 23) &amp; "_p"</f>
        <v>aN_CYC_2_6_1_p</v>
      </c>
      <c r="B775">
        <v>0</v>
      </c>
      <c r="C775" t="s">
        <v>5</v>
      </c>
    </row>
    <row r="776" spans="1:6" x14ac:dyDescent="0.25">
      <c r="A776" t="str" cm="1">
        <f t="array" aca="1" ref="A776" ca="1">"aN_CYC_3_" &amp; INDIRECT("F" &amp; ROW(C776) - 24) &amp; "_p"</f>
        <v>aN_CYC_3_6_1_p</v>
      </c>
      <c r="B776">
        <v>2</v>
      </c>
      <c r="C776" t="s">
        <v>6</v>
      </c>
    </row>
    <row r="777" spans="1:6" x14ac:dyDescent="0.25">
      <c r="A777" s="26" t="str">
        <f>"sector " &amp; D777 &amp; " and region " &amp;E777</f>
        <v>sector 6 and region 2</v>
      </c>
      <c r="B777" s="26"/>
      <c r="C777" s="26"/>
      <c r="D777" s="24">
        <v>6</v>
      </c>
      <c r="E777" s="24">
        <v>2</v>
      </c>
      <c r="F777" s="24" t="str">
        <f>D777 &amp; "_" &amp; E777</f>
        <v>6_2</v>
      </c>
    </row>
    <row r="778" spans="1:6" x14ac:dyDescent="0.25">
      <c r="A778" s="5" t="s">
        <v>3</v>
      </c>
    </row>
    <row r="779" spans="1:6" x14ac:dyDescent="0.25">
      <c r="A779" t="str" cm="1">
        <f t="array" aca="1" ref="A779" ca="1">"aN_T_1_" &amp; INDIRECT("F" &amp; ROW(C779)-2) &amp; "_p"</f>
        <v>aN_T_1_6_2_p</v>
      </c>
      <c r="B779">
        <v>0</v>
      </c>
      <c r="C779" t="s">
        <v>4</v>
      </c>
    </row>
    <row r="780" spans="1:6" x14ac:dyDescent="0.25">
      <c r="A780" t="str" cm="1">
        <f t="array" aca="1" ref="A780" ca="1">"aN_T_2_" &amp; INDIRECT("F" &amp; ROW(C780)-3) &amp; "_p"</f>
        <v>aN_T_2_6_2_p</v>
      </c>
      <c r="B780">
        <v>0</v>
      </c>
      <c r="C780" t="s">
        <v>5</v>
      </c>
    </row>
    <row r="781" spans="1:6" x14ac:dyDescent="0.25">
      <c r="A781" t="str" cm="1">
        <f t="array" aca="1" ref="A781" ca="1">"aN_T_3_" &amp; INDIRECT("F" &amp; ROW(C781)-4) &amp; "_p"</f>
        <v>aN_T_3_6_2_p</v>
      </c>
      <c r="B781">
        <v>2</v>
      </c>
      <c r="C781" t="s">
        <v>6</v>
      </c>
    </row>
    <row r="782" spans="1:6" x14ac:dyDescent="0.25">
      <c r="A782" s="5" t="s">
        <v>8</v>
      </c>
    </row>
    <row r="783" spans="1:6" x14ac:dyDescent="0.25">
      <c r="A783" t="str" cm="1">
        <f t="array" aca="1" ref="A783" ca="1">"aN_WS_1_" &amp; INDIRECT("F" &amp; ROW(C783)-6) &amp; "_p"</f>
        <v>aN_WS_1_6_2_p</v>
      </c>
      <c r="B783">
        <v>0</v>
      </c>
      <c r="C783" t="s">
        <v>4</v>
      </c>
    </row>
    <row r="784" spans="1:6" x14ac:dyDescent="0.25">
      <c r="A784" t="str" cm="1">
        <f t="array" aca="1" ref="A784" ca="1">"aN_WS_2_" &amp; INDIRECT("F" &amp; ROW(C784)-7) &amp; "_p"</f>
        <v>aN_WS_2_6_2_p</v>
      </c>
      <c r="B784">
        <v>0</v>
      </c>
      <c r="C784" t="s">
        <v>5</v>
      </c>
    </row>
    <row r="785" spans="1:8" x14ac:dyDescent="0.25">
      <c r="A785" t="str" cm="1">
        <f t="array" aca="1" ref="A785" ca="1">"aN_WS_3_" &amp; INDIRECT("F" &amp; ROW(C785)-8) &amp; "_p"</f>
        <v>aN_WS_3_6_2_p</v>
      </c>
      <c r="B785">
        <v>2</v>
      </c>
      <c r="C785" t="s">
        <v>6</v>
      </c>
    </row>
    <row r="786" spans="1:8" x14ac:dyDescent="0.25">
      <c r="A786" s="5" t="s">
        <v>7</v>
      </c>
      <c r="F786" s="27"/>
      <c r="G786" s="27"/>
      <c r="H786" s="27"/>
    </row>
    <row r="787" spans="1:8" x14ac:dyDescent="0.25">
      <c r="A787" t="str" cm="1">
        <f t="array" aca="1" ref="A787" ca="1">"aN_PREC_1_" &amp; INDIRECT("F" &amp; ROW(C787) - 10) &amp; "_p"</f>
        <v>aN_PREC_1_6_2_p</v>
      </c>
      <c r="B787">
        <v>0</v>
      </c>
      <c r="C787" t="s">
        <v>4</v>
      </c>
    </row>
    <row r="788" spans="1:8" x14ac:dyDescent="0.25">
      <c r="A788" t="str" cm="1">
        <f t="array" aca="1" ref="A788" ca="1">"aN_PREC_2_" &amp; INDIRECT("F" &amp; ROW(C788) - 11) &amp; "_p"</f>
        <v>aN_PREC_2_6_2_p</v>
      </c>
      <c r="B788">
        <v>0</v>
      </c>
      <c r="C788" t="s">
        <v>5</v>
      </c>
    </row>
    <row r="789" spans="1:8" x14ac:dyDescent="0.25">
      <c r="A789" t="str" cm="1">
        <f t="array" aca="1" ref="A789" ca="1">"aN_PREC_3_" &amp; INDIRECT("F" &amp; ROW(C789) - 12) &amp; "_p"</f>
        <v>aN_PREC_3_6_2_p</v>
      </c>
      <c r="B789">
        <v>2</v>
      </c>
      <c r="C789" t="s">
        <v>6</v>
      </c>
    </row>
    <row r="790" spans="1:8" x14ac:dyDescent="0.25">
      <c r="A790" s="5" t="s">
        <v>9</v>
      </c>
      <c r="F790" s="27"/>
      <c r="G790" s="27"/>
      <c r="H790" s="27"/>
    </row>
    <row r="791" spans="1:8" x14ac:dyDescent="0.25">
      <c r="A791" t="str" cm="1">
        <f t="array" aca="1" ref="A791" ca="1">"aN_SL_1_" &amp; INDIRECT("F" &amp; ROW(C791) - 14) &amp; "_p"</f>
        <v>aN_SL_1_6_2_p</v>
      </c>
      <c r="B791">
        <v>0</v>
      </c>
      <c r="C791" t="s">
        <v>4</v>
      </c>
    </row>
    <row r="792" spans="1:8" x14ac:dyDescent="0.25">
      <c r="A792" t="str" cm="1">
        <f t="array" aca="1" ref="A792" ca="1">"aN_SL_2_" &amp; INDIRECT("F" &amp; ROW(C792) - 15) &amp; "_p"</f>
        <v>aN_SL_2_6_2_p</v>
      </c>
      <c r="B792">
        <v>0</v>
      </c>
      <c r="C792" t="s">
        <v>5</v>
      </c>
    </row>
    <row r="793" spans="1:8" x14ac:dyDescent="0.25">
      <c r="A793" t="str" cm="1">
        <f t="array" aca="1" ref="A793" ca="1">"aN_SL_3_" &amp; INDIRECT("F" &amp; ROW(C793) - 16) &amp; "_p"</f>
        <v>aN_SL_3_6_2_p</v>
      </c>
      <c r="B793">
        <v>2</v>
      </c>
      <c r="C793" t="s">
        <v>6</v>
      </c>
    </row>
    <row r="794" spans="1:8" x14ac:dyDescent="0.25">
      <c r="A794" s="5" t="s">
        <v>95</v>
      </c>
    </row>
    <row r="795" spans="1:8" x14ac:dyDescent="0.25">
      <c r="A795" t="str" cm="1">
        <f t="array" aca="1" ref="A795" ca="1">"aN_DRO_1_" &amp; INDIRECT("F" &amp; ROW(C795) - 18) &amp; "_p"</f>
        <v>aN_DRO_1_6_2_p</v>
      </c>
      <c r="B795">
        <v>0.01</v>
      </c>
      <c r="C795" t="s">
        <v>4</v>
      </c>
    </row>
    <row r="796" spans="1:8" x14ac:dyDescent="0.25">
      <c r="A796" t="str" cm="1">
        <f t="array" aca="1" ref="A796" ca="1">"aN_DRO_2_" &amp; INDIRECT("F" &amp; ROW(C796) - 19) &amp; "_p"</f>
        <v>aN_DRO_2_6_2_p</v>
      </c>
      <c r="B796">
        <v>0</v>
      </c>
      <c r="C796" t="s">
        <v>5</v>
      </c>
    </row>
    <row r="797" spans="1:8" x14ac:dyDescent="0.25">
      <c r="A797" t="str" cm="1">
        <f t="array" aca="1" ref="A797" ca="1">"aN_DRO_3_" &amp; INDIRECT("F" &amp; ROW(C797) - 20) &amp; "_p"</f>
        <v>aN_DRO_3_6_2_p</v>
      </c>
      <c r="B797">
        <v>2</v>
      </c>
      <c r="C797" t="s">
        <v>6</v>
      </c>
    </row>
    <row r="798" spans="1:8" x14ac:dyDescent="0.25">
      <c r="A798" s="5" t="s">
        <v>96</v>
      </c>
    </row>
    <row r="799" spans="1:8" x14ac:dyDescent="0.25">
      <c r="A799" t="str" cm="1">
        <f t="array" aca="1" ref="A799" ca="1">"aN_CYC_1_" &amp; INDIRECT("F" &amp; ROW(C799) - 22) &amp; "_p"</f>
        <v>aN_CYC_1_6_2_p</v>
      </c>
      <c r="B799">
        <v>0</v>
      </c>
      <c r="C799" t="s">
        <v>4</v>
      </c>
    </row>
    <row r="800" spans="1:8" x14ac:dyDescent="0.25">
      <c r="A800" t="str" cm="1">
        <f t="array" aca="1" ref="A800" ca="1">"aN_CYC_2_" &amp; INDIRECT("F" &amp; ROW(C800) - 23) &amp; "_p"</f>
        <v>aN_CYC_2_6_2_p</v>
      </c>
      <c r="B800">
        <v>0</v>
      </c>
      <c r="C800" t="s">
        <v>5</v>
      </c>
    </row>
    <row r="801" spans="1:8" x14ac:dyDescent="0.25">
      <c r="A801" t="str" cm="1">
        <f t="array" aca="1" ref="A801" ca="1">"aN_CYC_3_" &amp; INDIRECT("F" &amp; ROW(C801) - 24) &amp; "_p"</f>
        <v>aN_CYC_3_6_2_p</v>
      </c>
      <c r="B801">
        <v>2</v>
      </c>
      <c r="C801" t="s">
        <v>6</v>
      </c>
    </row>
    <row r="802" spans="1:8" x14ac:dyDescent="0.25">
      <c r="A802" s="26" t="str">
        <f>"sector " &amp; D802 &amp; " and region " &amp;E802</f>
        <v>sector 6 and region 3</v>
      </c>
      <c r="B802" s="26"/>
      <c r="C802" s="26"/>
      <c r="D802" s="24">
        <v>6</v>
      </c>
      <c r="E802" s="24">
        <v>3</v>
      </c>
      <c r="F802" s="24" t="str">
        <f>D802 &amp; "_" &amp; E802</f>
        <v>6_3</v>
      </c>
    </row>
    <row r="803" spans="1:8" x14ac:dyDescent="0.25">
      <c r="A803" s="5" t="s">
        <v>3</v>
      </c>
    </row>
    <row r="804" spans="1:8" x14ac:dyDescent="0.25">
      <c r="A804" t="str" cm="1">
        <f t="array" aca="1" ref="A804" ca="1">"aN_T_1_" &amp; INDIRECT("F" &amp; ROW(C804)-2) &amp; "_p"</f>
        <v>aN_T_1_6_3_p</v>
      </c>
      <c r="B804">
        <v>0</v>
      </c>
      <c r="C804" t="s">
        <v>4</v>
      </c>
    </row>
    <row r="805" spans="1:8" x14ac:dyDescent="0.25">
      <c r="A805" t="str" cm="1">
        <f t="array" aca="1" ref="A805" ca="1">"aN_T_2_" &amp; INDIRECT("F" &amp; ROW(C805)-3) &amp; "_p"</f>
        <v>aN_T_2_6_3_p</v>
      </c>
      <c r="B805">
        <v>0</v>
      </c>
      <c r="C805" t="s">
        <v>5</v>
      </c>
    </row>
    <row r="806" spans="1:8" x14ac:dyDescent="0.25">
      <c r="A806" t="str" cm="1">
        <f t="array" aca="1" ref="A806" ca="1">"aN_T_3_" &amp; INDIRECT("F" &amp; ROW(C806)-4) &amp; "_p"</f>
        <v>aN_T_3_6_3_p</v>
      </c>
      <c r="B806">
        <v>2</v>
      </c>
      <c r="C806" t="s">
        <v>6</v>
      </c>
    </row>
    <row r="807" spans="1:8" x14ac:dyDescent="0.25">
      <c r="A807" s="5" t="s">
        <v>8</v>
      </c>
    </row>
    <row r="808" spans="1:8" x14ac:dyDescent="0.25">
      <c r="A808" t="str" cm="1">
        <f t="array" aca="1" ref="A808" ca="1">"aN_WS_1_" &amp; INDIRECT("F" &amp; ROW(C808)-6) &amp; "_p"</f>
        <v>aN_WS_1_6_3_p</v>
      </c>
      <c r="B808">
        <v>0</v>
      </c>
      <c r="C808" t="s">
        <v>4</v>
      </c>
    </row>
    <row r="809" spans="1:8" x14ac:dyDescent="0.25">
      <c r="A809" t="str" cm="1">
        <f t="array" aca="1" ref="A809" ca="1">"aN_WS_2_" &amp; INDIRECT("F" &amp; ROW(C809)-7) &amp; "_p"</f>
        <v>aN_WS_2_6_3_p</v>
      </c>
      <c r="B809">
        <v>0</v>
      </c>
      <c r="C809" t="s">
        <v>5</v>
      </c>
    </row>
    <row r="810" spans="1:8" x14ac:dyDescent="0.25">
      <c r="A810" t="str" cm="1">
        <f t="array" aca="1" ref="A810" ca="1">"aN_WS_3_" &amp; INDIRECT("F" &amp; ROW(C810)-8) &amp; "_p"</f>
        <v>aN_WS_3_6_3_p</v>
      </c>
      <c r="B810">
        <v>2</v>
      </c>
      <c r="C810" t="s">
        <v>6</v>
      </c>
    </row>
    <row r="811" spans="1:8" x14ac:dyDescent="0.25">
      <c r="A811" s="5" t="s">
        <v>7</v>
      </c>
      <c r="F811" s="27"/>
      <c r="G811" s="27"/>
      <c r="H811" s="27"/>
    </row>
    <row r="812" spans="1:8" x14ac:dyDescent="0.25">
      <c r="A812" t="str" cm="1">
        <f t="array" aca="1" ref="A812" ca="1">"aN_PREC_1_" &amp; INDIRECT("F" &amp; ROW(C812) - 10) &amp; "_p"</f>
        <v>aN_PREC_1_6_3_p</v>
      </c>
      <c r="B812">
        <v>0</v>
      </c>
      <c r="C812" t="s">
        <v>4</v>
      </c>
    </row>
    <row r="813" spans="1:8" x14ac:dyDescent="0.25">
      <c r="A813" t="str" cm="1">
        <f t="array" aca="1" ref="A813" ca="1">"aN_PREC_2_" &amp; INDIRECT("F" &amp; ROW(C813) - 11) &amp; "_p"</f>
        <v>aN_PREC_2_6_3_p</v>
      </c>
      <c r="B813">
        <v>0</v>
      </c>
      <c r="C813" t="s">
        <v>5</v>
      </c>
    </row>
    <row r="814" spans="1:8" x14ac:dyDescent="0.25">
      <c r="A814" t="str" cm="1">
        <f t="array" aca="1" ref="A814" ca="1">"aN_PREC_3_" &amp; INDIRECT("F" &amp; ROW(C814) - 12) &amp; "_p"</f>
        <v>aN_PREC_3_6_3_p</v>
      </c>
      <c r="B814">
        <v>2</v>
      </c>
      <c r="C814" t="s">
        <v>6</v>
      </c>
    </row>
    <row r="815" spans="1:8" x14ac:dyDescent="0.25">
      <c r="A815" s="5" t="s">
        <v>9</v>
      </c>
      <c r="F815" s="27"/>
      <c r="G815" s="27"/>
      <c r="H815" s="27"/>
    </row>
    <row r="816" spans="1:8" x14ac:dyDescent="0.25">
      <c r="A816" t="str" cm="1">
        <f t="array" aca="1" ref="A816" ca="1">"aN_SL_1_" &amp; INDIRECT("F" &amp; ROW(C816) - 14) &amp; "_p"</f>
        <v>aN_SL_1_6_3_p</v>
      </c>
      <c r="B816">
        <v>0</v>
      </c>
      <c r="C816" t="s">
        <v>4</v>
      </c>
    </row>
    <row r="817" spans="1:6" x14ac:dyDescent="0.25">
      <c r="A817" t="str" cm="1">
        <f t="array" aca="1" ref="A817" ca="1">"aN_SL_2_" &amp; INDIRECT("F" &amp; ROW(C817) - 15) &amp; "_p"</f>
        <v>aN_SL_2_6_3_p</v>
      </c>
      <c r="B817">
        <v>0</v>
      </c>
      <c r="C817" t="s">
        <v>5</v>
      </c>
    </row>
    <row r="818" spans="1:6" x14ac:dyDescent="0.25">
      <c r="A818" t="str" cm="1">
        <f t="array" aca="1" ref="A818" ca="1">"aN_SL_3_" &amp; INDIRECT("F" &amp; ROW(C818) - 16) &amp; "_p"</f>
        <v>aN_SL_3_6_3_p</v>
      </c>
      <c r="B818">
        <v>2</v>
      </c>
      <c r="C818" t="s">
        <v>6</v>
      </c>
    </row>
    <row r="819" spans="1:6" x14ac:dyDescent="0.25">
      <c r="A819" s="5" t="s">
        <v>95</v>
      </c>
    </row>
    <row r="820" spans="1:6" x14ac:dyDescent="0.25">
      <c r="A820" t="str" cm="1">
        <f t="array" aca="1" ref="A820" ca="1">"aN_DRO_1_" &amp; INDIRECT("F" &amp; ROW(C820) - 18) &amp; "_p"</f>
        <v>aN_DRO_1_6_3_p</v>
      </c>
      <c r="B820">
        <v>0.01</v>
      </c>
      <c r="C820" t="s">
        <v>4</v>
      </c>
    </row>
    <row r="821" spans="1:6" x14ac:dyDescent="0.25">
      <c r="A821" t="str" cm="1">
        <f t="array" aca="1" ref="A821" ca="1">"aN_DRO_2_" &amp; INDIRECT("F" &amp; ROW(C821) - 19) &amp; "_p"</f>
        <v>aN_DRO_2_6_3_p</v>
      </c>
      <c r="B821">
        <v>0</v>
      </c>
      <c r="C821" t="s">
        <v>5</v>
      </c>
    </row>
    <row r="822" spans="1:6" x14ac:dyDescent="0.25">
      <c r="A822" t="str" cm="1">
        <f t="array" aca="1" ref="A822" ca="1">"aN_DRO_3_" &amp; INDIRECT("F" &amp; ROW(C822) - 20) &amp; "_p"</f>
        <v>aN_DRO_3_6_3_p</v>
      </c>
      <c r="B822">
        <v>2</v>
      </c>
      <c r="C822" t="s">
        <v>6</v>
      </c>
    </row>
    <row r="823" spans="1:6" x14ac:dyDescent="0.25">
      <c r="A823" s="5" t="s">
        <v>96</v>
      </c>
    </row>
    <row r="824" spans="1:6" x14ac:dyDescent="0.25">
      <c r="A824" t="str" cm="1">
        <f t="array" aca="1" ref="A824" ca="1">"aN_CYC_1_" &amp; INDIRECT("F" &amp; ROW(C824) - 22) &amp; "_p"</f>
        <v>aN_CYC_1_6_3_p</v>
      </c>
      <c r="B824">
        <v>0</v>
      </c>
      <c r="C824" t="s">
        <v>4</v>
      </c>
    </row>
    <row r="825" spans="1:6" x14ac:dyDescent="0.25">
      <c r="A825" t="str" cm="1">
        <f t="array" aca="1" ref="A825" ca="1">"aN_CYC_2_" &amp; INDIRECT("F" &amp; ROW(C825) - 23) &amp; "_p"</f>
        <v>aN_CYC_2_6_3_p</v>
      </c>
      <c r="B825">
        <v>0</v>
      </c>
      <c r="C825" t="s">
        <v>5</v>
      </c>
    </row>
    <row r="826" spans="1:6" x14ac:dyDescent="0.25">
      <c r="A826" t="str" cm="1">
        <f t="array" aca="1" ref="A826" ca="1">"aN_CYC_3_" &amp; INDIRECT("F" &amp; ROW(C826) - 24) &amp; "_p"</f>
        <v>aN_CYC_3_6_3_p</v>
      </c>
      <c r="B826">
        <v>2</v>
      </c>
      <c r="C826" t="s">
        <v>6</v>
      </c>
    </row>
    <row r="827" spans="1:6" x14ac:dyDescent="0.25">
      <c r="A827" s="26" t="str">
        <f>"sector " &amp; D827 &amp; " and region " &amp;E827</f>
        <v>sector 6 and region 4</v>
      </c>
      <c r="B827" s="26"/>
      <c r="C827" s="26"/>
      <c r="D827" s="24">
        <v>6</v>
      </c>
      <c r="E827" s="24">
        <v>4</v>
      </c>
      <c r="F827" s="24" t="str">
        <f>D827 &amp; "_" &amp; E827</f>
        <v>6_4</v>
      </c>
    </row>
    <row r="828" spans="1:6" x14ac:dyDescent="0.25">
      <c r="A828" s="5" t="s">
        <v>3</v>
      </c>
    </row>
    <row r="829" spans="1:6" x14ac:dyDescent="0.25">
      <c r="A829" t="str" cm="1">
        <f t="array" aca="1" ref="A829" ca="1">"aN_T_1_" &amp; INDIRECT("F" &amp; ROW(C829)-2) &amp; "_p"</f>
        <v>aN_T_1_6_4_p</v>
      </c>
      <c r="B829">
        <v>0</v>
      </c>
      <c r="C829" t="s">
        <v>4</v>
      </c>
    </row>
    <row r="830" spans="1:6" x14ac:dyDescent="0.25">
      <c r="A830" t="str" cm="1">
        <f t="array" aca="1" ref="A830" ca="1">"aN_T_2_" &amp; INDIRECT("F" &amp; ROW(C830)-3) &amp; "_p"</f>
        <v>aN_T_2_6_4_p</v>
      </c>
      <c r="B830">
        <v>0</v>
      </c>
      <c r="C830" t="s">
        <v>5</v>
      </c>
    </row>
    <row r="831" spans="1:6" x14ac:dyDescent="0.25">
      <c r="A831" t="str" cm="1">
        <f t="array" aca="1" ref="A831" ca="1">"aN_T_3_" &amp; INDIRECT("F" &amp; ROW(C831)-4) &amp; "_p"</f>
        <v>aN_T_3_6_4_p</v>
      </c>
      <c r="B831">
        <v>2</v>
      </c>
      <c r="C831" t="s">
        <v>6</v>
      </c>
    </row>
    <row r="832" spans="1:6" x14ac:dyDescent="0.25">
      <c r="A832" s="5" t="s">
        <v>8</v>
      </c>
    </row>
    <row r="833" spans="1:8" x14ac:dyDescent="0.25">
      <c r="A833" t="str" cm="1">
        <f t="array" aca="1" ref="A833" ca="1">"aN_WS_1_" &amp; INDIRECT("F" &amp; ROW(C833)-6) &amp; "_p"</f>
        <v>aN_WS_1_6_4_p</v>
      </c>
      <c r="B833">
        <v>0</v>
      </c>
      <c r="C833" t="s">
        <v>4</v>
      </c>
    </row>
    <row r="834" spans="1:8" x14ac:dyDescent="0.25">
      <c r="A834" t="str" cm="1">
        <f t="array" aca="1" ref="A834" ca="1">"aN_WS_2_" &amp; INDIRECT("F" &amp; ROW(C834)-7) &amp; "_p"</f>
        <v>aN_WS_2_6_4_p</v>
      </c>
      <c r="B834">
        <v>0</v>
      </c>
      <c r="C834" t="s">
        <v>5</v>
      </c>
    </row>
    <row r="835" spans="1:8" x14ac:dyDescent="0.25">
      <c r="A835" t="str" cm="1">
        <f t="array" aca="1" ref="A835" ca="1">"aN_WS_3_" &amp; INDIRECT("F" &amp; ROW(C835)-8) &amp; "_p"</f>
        <v>aN_WS_3_6_4_p</v>
      </c>
      <c r="B835">
        <v>2</v>
      </c>
      <c r="C835" t="s">
        <v>6</v>
      </c>
    </row>
    <row r="836" spans="1:8" x14ac:dyDescent="0.25">
      <c r="A836" s="5" t="s">
        <v>7</v>
      </c>
      <c r="F836" s="27"/>
      <c r="G836" s="27"/>
      <c r="H836" s="27"/>
    </row>
    <row r="837" spans="1:8" x14ac:dyDescent="0.25">
      <c r="A837" t="str" cm="1">
        <f t="array" aca="1" ref="A837" ca="1">"aN_PREC_1_" &amp; INDIRECT("F" &amp; ROW(C837) - 10) &amp; "_p"</f>
        <v>aN_PREC_1_6_4_p</v>
      </c>
      <c r="B837">
        <v>0</v>
      </c>
      <c r="C837" t="s">
        <v>4</v>
      </c>
    </row>
    <row r="838" spans="1:8" x14ac:dyDescent="0.25">
      <c r="A838" t="str" cm="1">
        <f t="array" aca="1" ref="A838" ca="1">"aN_PREC_2_" &amp; INDIRECT("F" &amp; ROW(C838) - 11) &amp; "_p"</f>
        <v>aN_PREC_2_6_4_p</v>
      </c>
      <c r="B838">
        <v>0</v>
      </c>
      <c r="C838" t="s">
        <v>5</v>
      </c>
    </row>
    <row r="839" spans="1:8" x14ac:dyDescent="0.25">
      <c r="A839" t="str" cm="1">
        <f t="array" aca="1" ref="A839" ca="1">"aN_PREC_3_" &amp; INDIRECT("F" &amp; ROW(C839) - 12) &amp; "_p"</f>
        <v>aN_PREC_3_6_4_p</v>
      </c>
      <c r="B839">
        <v>2</v>
      </c>
      <c r="C839" t="s">
        <v>6</v>
      </c>
    </row>
    <row r="840" spans="1:8" x14ac:dyDescent="0.25">
      <c r="A840" s="5" t="s">
        <v>9</v>
      </c>
      <c r="F840" s="27"/>
      <c r="G840" s="27"/>
      <c r="H840" s="27"/>
    </row>
    <row r="841" spans="1:8" x14ac:dyDescent="0.25">
      <c r="A841" t="str" cm="1">
        <f t="array" aca="1" ref="A841" ca="1">"aN_SL_1_" &amp; INDIRECT("F" &amp; ROW(C841) - 14) &amp; "_p"</f>
        <v>aN_SL_1_6_4_p</v>
      </c>
      <c r="B841">
        <v>0</v>
      </c>
      <c r="C841" t="s">
        <v>4</v>
      </c>
    </row>
    <row r="842" spans="1:8" x14ac:dyDescent="0.25">
      <c r="A842" t="str" cm="1">
        <f t="array" aca="1" ref="A842" ca="1">"aN_SL_2_" &amp; INDIRECT("F" &amp; ROW(C842) - 15) &amp; "_p"</f>
        <v>aN_SL_2_6_4_p</v>
      </c>
      <c r="B842">
        <v>0</v>
      </c>
      <c r="C842" t="s">
        <v>5</v>
      </c>
    </row>
    <row r="843" spans="1:8" x14ac:dyDescent="0.25">
      <c r="A843" t="str" cm="1">
        <f t="array" aca="1" ref="A843" ca="1">"aN_SL_3_" &amp; INDIRECT("F" &amp; ROW(C843) - 16) &amp; "_p"</f>
        <v>aN_SL_3_6_4_p</v>
      </c>
      <c r="B843">
        <v>2</v>
      </c>
      <c r="C843" t="s">
        <v>6</v>
      </c>
    </row>
    <row r="844" spans="1:8" x14ac:dyDescent="0.25">
      <c r="A844" s="5" t="s">
        <v>95</v>
      </c>
    </row>
    <row r="845" spans="1:8" x14ac:dyDescent="0.25">
      <c r="A845" t="str" cm="1">
        <f t="array" aca="1" ref="A845" ca="1">"aN_DRO_1_" &amp; INDIRECT("F" &amp; ROW(C845) - 18) &amp; "_p"</f>
        <v>aN_DRO_1_6_4_p</v>
      </c>
      <c r="B845">
        <v>0.01</v>
      </c>
      <c r="C845" t="s">
        <v>4</v>
      </c>
    </row>
    <row r="846" spans="1:8" x14ac:dyDescent="0.25">
      <c r="A846" t="str" cm="1">
        <f t="array" aca="1" ref="A846" ca="1">"aN_DRO_2_" &amp; INDIRECT("F" &amp; ROW(C846) - 19) &amp; "_p"</f>
        <v>aN_DRO_2_6_4_p</v>
      </c>
      <c r="B846">
        <v>0</v>
      </c>
      <c r="C846" t="s">
        <v>5</v>
      </c>
    </row>
    <row r="847" spans="1:8" x14ac:dyDescent="0.25">
      <c r="A847" t="str" cm="1">
        <f t="array" aca="1" ref="A847" ca="1">"aN_DRO_3_" &amp; INDIRECT("F" &amp; ROW(C847) - 20) &amp; "_p"</f>
        <v>aN_DRO_3_6_4_p</v>
      </c>
      <c r="B847">
        <v>2</v>
      </c>
      <c r="C847" t="s">
        <v>6</v>
      </c>
    </row>
    <row r="848" spans="1:8" x14ac:dyDescent="0.25">
      <c r="A848" s="5" t="s">
        <v>96</v>
      </c>
    </row>
    <row r="849" spans="1:8" x14ac:dyDescent="0.25">
      <c r="A849" t="str" cm="1">
        <f t="array" aca="1" ref="A849" ca="1">"aN_CYC_1_" &amp; INDIRECT("F" &amp; ROW(C849) - 22) &amp; "_p"</f>
        <v>aN_CYC_1_6_4_p</v>
      </c>
      <c r="B849">
        <v>0</v>
      </c>
      <c r="C849" t="s">
        <v>4</v>
      </c>
    </row>
    <row r="850" spans="1:8" x14ac:dyDescent="0.25">
      <c r="A850" t="str" cm="1">
        <f t="array" aca="1" ref="A850" ca="1">"aN_CYC_2_" &amp; INDIRECT("F" &amp; ROW(C850) - 23) &amp; "_p"</f>
        <v>aN_CYC_2_6_4_p</v>
      </c>
      <c r="B850">
        <v>0</v>
      </c>
      <c r="C850" t="s">
        <v>5</v>
      </c>
    </row>
    <row r="851" spans="1:8" x14ac:dyDescent="0.25">
      <c r="A851" t="str" cm="1">
        <f t="array" aca="1" ref="A851" ca="1">"aN_CYC_3_" &amp; INDIRECT("F" &amp; ROW(C851) - 24) &amp; "_p"</f>
        <v>aN_CYC_3_6_4_p</v>
      </c>
      <c r="B851">
        <v>2</v>
      </c>
      <c r="C851" t="s">
        <v>6</v>
      </c>
    </row>
    <row r="852" spans="1:8" x14ac:dyDescent="0.25">
      <c r="A852" s="26" t="str">
        <f>"sector " &amp; D852 &amp; " and region " &amp;E852</f>
        <v>sector 6 and region 5</v>
      </c>
      <c r="B852" s="26"/>
      <c r="C852" s="26"/>
      <c r="D852" s="24">
        <v>6</v>
      </c>
      <c r="E852" s="24">
        <v>5</v>
      </c>
      <c r="F852" s="24" t="str">
        <f>D852 &amp; "_" &amp; E852</f>
        <v>6_5</v>
      </c>
    </row>
    <row r="853" spans="1:8" x14ac:dyDescent="0.25">
      <c r="A853" s="5" t="s">
        <v>3</v>
      </c>
    </row>
    <row r="854" spans="1:8" x14ac:dyDescent="0.25">
      <c r="A854" t="str" cm="1">
        <f t="array" aca="1" ref="A854" ca="1">"aN_T_1_" &amp; INDIRECT("F" &amp; ROW(C854)-2) &amp; "_p"</f>
        <v>aN_T_1_6_5_p</v>
      </c>
      <c r="B854">
        <v>0</v>
      </c>
      <c r="C854" t="s">
        <v>4</v>
      </c>
    </row>
    <row r="855" spans="1:8" x14ac:dyDescent="0.25">
      <c r="A855" t="str" cm="1">
        <f t="array" aca="1" ref="A855" ca="1">"aN_T_2_" &amp; INDIRECT("F" &amp; ROW(C855)-3) &amp; "_p"</f>
        <v>aN_T_2_6_5_p</v>
      </c>
      <c r="B855">
        <v>0</v>
      </c>
      <c r="C855" t="s">
        <v>5</v>
      </c>
    </row>
    <row r="856" spans="1:8" x14ac:dyDescent="0.25">
      <c r="A856" t="str" cm="1">
        <f t="array" aca="1" ref="A856" ca="1">"aN_T_3_" &amp; INDIRECT("F" &amp; ROW(C856)-4) &amp; "_p"</f>
        <v>aN_T_3_6_5_p</v>
      </c>
      <c r="B856">
        <v>2</v>
      </c>
      <c r="C856" t="s">
        <v>6</v>
      </c>
    </row>
    <row r="857" spans="1:8" x14ac:dyDescent="0.25">
      <c r="A857" s="5" t="s">
        <v>8</v>
      </c>
    </row>
    <row r="858" spans="1:8" x14ac:dyDescent="0.25">
      <c r="A858" t="str" cm="1">
        <f t="array" aca="1" ref="A858" ca="1">"aN_WS_1_" &amp; INDIRECT("F" &amp; ROW(C858)-6) &amp; "_p"</f>
        <v>aN_WS_1_6_5_p</v>
      </c>
      <c r="B858">
        <v>0</v>
      </c>
      <c r="C858" t="s">
        <v>4</v>
      </c>
    </row>
    <row r="859" spans="1:8" x14ac:dyDescent="0.25">
      <c r="A859" t="str" cm="1">
        <f t="array" aca="1" ref="A859" ca="1">"aN_WS_2_" &amp; INDIRECT("F" &amp; ROW(C859)-7) &amp; "_p"</f>
        <v>aN_WS_2_6_5_p</v>
      </c>
      <c r="B859">
        <v>0</v>
      </c>
      <c r="C859" t="s">
        <v>5</v>
      </c>
    </row>
    <row r="860" spans="1:8" x14ac:dyDescent="0.25">
      <c r="A860" t="str" cm="1">
        <f t="array" aca="1" ref="A860" ca="1">"aN_WS_3_" &amp; INDIRECT("F" &amp; ROW(C860)-8) &amp; "_p"</f>
        <v>aN_WS_3_6_5_p</v>
      </c>
      <c r="B860">
        <v>2</v>
      </c>
      <c r="C860" t="s">
        <v>6</v>
      </c>
    </row>
    <row r="861" spans="1:8" x14ac:dyDescent="0.25">
      <c r="A861" s="5" t="s">
        <v>7</v>
      </c>
      <c r="F861" s="27"/>
      <c r="G861" s="27"/>
      <c r="H861" s="27"/>
    </row>
    <row r="862" spans="1:8" x14ac:dyDescent="0.25">
      <c r="A862" t="str" cm="1">
        <f t="array" aca="1" ref="A862" ca="1">"aN_PREC_1_" &amp; INDIRECT("F" &amp; ROW(C862) - 10) &amp; "_p"</f>
        <v>aN_PREC_1_6_5_p</v>
      </c>
      <c r="B862">
        <v>0</v>
      </c>
      <c r="C862" t="s">
        <v>4</v>
      </c>
    </row>
    <row r="863" spans="1:8" x14ac:dyDescent="0.25">
      <c r="A863" t="str" cm="1">
        <f t="array" aca="1" ref="A863" ca="1">"aN_PREC_2_" &amp; INDIRECT("F" &amp; ROW(C863) - 11) &amp; "_p"</f>
        <v>aN_PREC_2_6_5_p</v>
      </c>
      <c r="B863">
        <v>0</v>
      </c>
      <c r="C863" t="s">
        <v>5</v>
      </c>
    </row>
    <row r="864" spans="1:8" x14ac:dyDescent="0.25">
      <c r="A864" t="str" cm="1">
        <f t="array" aca="1" ref="A864" ca="1">"aN_PREC_3_" &amp; INDIRECT("F" &amp; ROW(C864) - 12) &amp; "_p"</f>
        <v>aN_PREC_3_6_5_p</v>
      </c>
      <c r="B864">
        <v>2</v>
      </c>
      <c r="C864" t="s">
        <v>6</v>
      </c>
    </row>
    <row r="865" spans="1:8" x14ac:dyDescent="0.25">
      <c r="A865" s="5" t="s">
        <v>9</v>
      </c>
      <c r="F865" s="27"/>
      <c r="G865" s="27"/>
      <c r="H865" s="27"/>
    </row>
    <row r="866" spans="1:8" x14ac:dyDescent="0.25">
      <c r="A866" t="str" cm="1">
        <f t="array" aca="1" ref="A866" ca="1">"aN_SL_1_" &amp; INDIRECT("F" &amp; ROW(C866) - 14) &amp; "_p"</f>
        <v>aN_SL_1_6_5_p</v>
      </c>
      <c r="B866">
        <v>0</v>
      </c>
      <c r="C866" t="s">
        <v>4</v>
      </c>
    </row>
    <row r="867" spans="1:8" x14ac:dyDescent="0.25">
      <c r="A867" t="str" cm="1">
        <f t="array" aca="1" ref="A867" ca="1">"aN_SL_2_" &amp; INDIRECT("F" &amp; ROW(C867) - 15) &amp; "_p"</f>
        <v>aN_SL_2_6_5_p</v>
      </c>
      <c r="B867">
        <v>0</v>
      </c>
      <c r="C867" t="s">
        <v>5</v>
      </c>
    </row>
    <row r="868" spans="1:8" x14ac:dyDescent="0.25">
      <c r="A868" t="str" cm="1">
        <f t="array" aca="1" ref="A868" ca="1">"aN_SL_3_" &amp; INDIRECT("F" &amp; ROW(C868) - 16) &amp; "_p"</f>
        <v>aN_SL_3_6_5_p</v>
      </c>
      <c r="B868">
        <v>2</v>
      </c>
      <c r="C868" t="s">
        <v>6</v>
      </c>
    </row>
    <row r="869" spans="1:8" x14ac:dyDescent="0.25">
      <c r="A869" s="5" t="s">
        <v>95</v>
      </c>
    </row>
    <row r="870" spans="1:8" x14ac:dyDescent="0.25">
      <c r="A870" t="str" cm="1">
        <f t="array" aca="1" ref="A870" ca="1">"aN_DRO_1_" &amp; INDIRECT("F" &amp; ROW(C870) - 18) &amp; "_p"</f>
        <v>aN_DRO_1_6_5_p</v>
      </c>
      <c r="B870">
        <v>0.01</v>
      </c>
      <c r="C870" t="s">
        <v>4</v>
      </c>
    </row>
    <row r="871" spans="1:8" x14ac:dyDescent="0.25">
      <c r="A871" t="str" cm="1">
        <f t="array" aca="1" ref="A871" ca="1">"aN_DRO_2_" &amp; INDIRECT("F" &amp; ROW(C871) - 19) &amp; "_p"</f>
        <v>aN_DRO_2_6_5_p</v>
      </c>
      <c r="B871">
        <v>0</v>
      </c>
      <c r="C871" t="s">
        <v>5</v>
      </c>
    </row>
    <row r="872" spans="1:8" x14ac:dyDescent="0.25">
      <c r="A872" t="str" cm="1">
        <f t="array" aca="1" ref="A872" ca="1">"aN_DRO_3_" &amp; INDIRECT("F" &amp; ROW(C872) - 20) &amp; "_p"</f>
        <v>aN_DRO_3_6_5_p</v>
      </c>
      <c r="B872">
        <v>2</v>
      </c>
      <c r="C872" t="s">
        <v>6</v>
      </c>
    </row>
    <row r="873" spans="1:8" x14ac:dyDescent="0.25">
      <c r="A873" s="5" t="s">
        <v>96</v>
      </c>
    </row>
    <row r="874" spans="1:8" x14ac:dyDescent="0.25">
      <c r="A874" t="str" cm="1">
        <f t="array" aca="1" ref="A874" ca="1">"aN_CYC_1_" &amp; INDIRECT("F" &amp; ROW(C874) - 22) &amp; "_p"</f>
        <v>aN_CYC_1_6_5_p</v>
      </c>
      <c r="B874">
        <v>0</v>
      </c>
      <c r="C874" t="s">
        <v>4</v>
      </c>
    </row>
    <row r="875" spans="1:8" x14ac:dyDescent="0.25">
      <c r="A875" t="str" cm="1">
        <f t="array" aca="1" ref="A875" ca="1">"aN_CYC_2_" &amp; INDIRECT("F" &amp; ROW(C875) - 23) &amp; "_p"</f>
        <v>aN_CYC_2_6_5_p</v>
      </c>
      <c r="B875">
        <v>0</v>
      </c>
      <c r="C875" t="s">
        <v>5</v>
      </c>
    </row>
    <row r="876" spans="1:8" x14ac:dyDescent="0.25">
      <c r="A876" t="str" cm="1">
        <f t="array" aca="1" ref="A876" ca="1">"aN_CYC_3_" &amp; INDIRECT("F" &amp; ROW(C876) - 24) &amp; "_p"</f>
        <v>aN_CYC_3_6_5_p</v>
      </c>
      <c r="B876">
        <v>2</v>
      </c>
      <c r="C876" t="s">
        <v>6</v>
      </c>
    </row>
    <row r="877" spans="1:8" x14ac:dyDescent="0.25">
      <c r="A877" s="26" t="str">
        <f>"sector " &amp; D877 &amp; " and region " &amp;E877</f>
        <v>sector 6 and region 6</v>
      </c>
      <c r="B877" s="26"/>
      <c r="C877" s="26"/>
      <c r="D877" s="24">
        <v>6</v>
      </c>
      <c r="E877" s="24">
        <v>6</v>
      </c>
      <c r="F877" s="24" t="str">
        <f>D877 &amp; "_" &amp; E877</f>
        <v>6_6</v>
      </c>
    </row>
    <row r="878" spans="1:8" x14ac:dyDescent="0.25">
      <c r="A878" s="5" t="s">
        <v>3</v>
      </c>
    </row>
    <row r="879" spans="1:8" x14ac:dyDescent="0.25">
      <c r="A879" t="str" cm="1">
        <f t="array" aca="1" ref="A879" ca="1">"aN_T_1_" &amp; INDIRECT("F" &amp; ROW(C879)-2) &amp; "_p"</f>
        <v>aN_T_1_6_6_p</v>
      </c>
      <c r="B879">
        <v>0</v>
      </c>
      <c r="C879" t="s">
        <v>4</v>
      </c>
    </row>
    <row r="880" spans="1:8" x14ac:dyDescent="0.25">
      <c r="A880" t="str" cm="1">
        <f t="array" aca="1" ref="A880" ca="1">"aN_T_2_" &amp; INDIRECT("F" &amp; ROW(C880)-3) &amp; "_p"</f>
        <v>aN_T_2_6_6_p</v>
      </c>
      <c r="B880">
        <v>0</v>
      </c>
      <c r="C880" t="s">
        <v>5</v>
      </c>
    </row>
    <row r="881" spans="1:8" x14ac:dyDescent="0.25">
      <c r="A881" t="str" cm="1">
        <f t="array" aca="1" ref="A881" ca="1">"aN_T_3_" &amp; INDIRECT("F" &amp; ROW(C881)-4) &amp; "_p"</f>
        <v>aN_T_3_6_6_p</v>
      </c>
      <c r="B881">
        <v>2</v>
      </c>
      <c r="C881" t="s">
        <v>6</v>
      </c>
    </row>
    <row r="882" spans="1:8" x14ac:dyDescent="0.25">
      <c r="A882" s="5" t="s">
        <v>8</v>
      </c>
    </row>
    <row r="883" spans="1:8" x14ac:dyDescent="0.25">
      <c r="A883" t="str" cm="1">
        <f t="array" aca="1" ref="A883" ca="1">"aN_WS_1_" &amp; INDIRECT("F" &amp; ROW(C883)-6) &amp; "_p"</f>
        <v>aN_WS_1_6_6_p</v>
      </c>
      <c r="B883">
        <v>0</v>
      </c>
      <c r="C883" t="s">
        <v>4</v>
      </c>
    </row>
    <row r="884" spans="1:8" x14ac:dyDescent="0.25">
      <c r="A884" t="str" cm="1">
        <f t="array" aca="1" ref="A884" ca="1">"aN_WS_2_" &amp; INDIRECT("F" &amp; ROW(C884)-7) &amp; "_p"</f>
        <v>aN_WS_2_6_6_p</v>
      </c>
      <c r="B884">
        <v>0</v>
      </c>
      <c r="C884" t="s">
        <v>5</v>
      </c>
    </row>
    <row r="885" spans="1:8" x14ac:dyDescent="0.25">
      <c r="A885" t="str" cm="1">
        <f t="array" aca="1" ref="A885" ca="1">"aN_WS_3_" &amp; INDIRECT("F" &amp; ROW(C885)-8) &amp; "_p"</f>
        <v>aN_WS_3_6_6_p</v>
      </c>
      <c r="B885">
        <v>2</v>
      </c>
      <c r="C885" t="s">
        <v>6</v>
      </c>
    </row>
    <row r="886" spans="1:8" x14ac:dyDescent="0.25">
      <c r="A886" s="5" t="s">
        <v>7</v>
      </c>
      <c r="F886" s="27"/>
      <c r="G886" s="27"/>
      <c r="H886" s="27"/>
    </row>
    <row r="887" spans="1:8" x14ac:dyDescent="0.25">
      <c r="A887" t="str" cm="1">
        <f t="array" aca="1" ref="A887" ca="1">"aN_PREC_1_" &amp; INDIRECT("F" &amp; ROW(C887) - 10) &amp; "_p"</f>
        <v>aN_PREC_1_6_6_p</v>
      </c>
      <c r="B887">
        <v>0</v>
      </c>
      <c r="C887" t="s">
        <v>4</v>
      </c>
    </row>
    <row r="888" spans="1:8" x14ac:dyDescent="0.25">
      <c r="A888" t="str" cm="1">
        <f t="array" aca="1" ref="A888" ca="1">"aN_PREC_2_" &amp; INDIRECT("F" &amp; ROW(C888) - 11) &amp; "_p"</f>
        <v>aN_PREC_2_6_6_p</v>
      </c>
      <c r="B888">
        <v>0</v>
      </c>
      <c r="C888" t="s">
        <v>5</v>
      </c>
    </row>
    <row r="889" spans="1:8" x14ac:dyDescent="0.25">
      <c r="A889" t="str" cm="1">
        <f t="array" aca="1" ref="A889" ca="1">"aN_PREC_3_" &amp; INDIRECT("F" &amp; ROW(C889) - 12) &amp; "_p"</f>
        <v>aN_PREC_3_6_6_p</v>
      </c>
      <c r="B889">
        <v>2</v>
      </c>
      <c r="C889" t="s">
        <v>6</v>
      </c>
    </row>
    <row r="890" spans="1:8" x14ac:dyDescent="0.25">
      <c r="A890" s="5" t="s">
        <v>9</v>
      </c>
      <c r="F890" s="27"/>
      <c r="G890" s="27"/>
      <c r="H890" s="27"/>
    </row>
    <row r="891" spans="1:8" x14ac:dyDescent="0.25">
      <c r="A891" t="str" cm="1">
        <f t="array" aca="1" ref="A891" ca="1">"aN_SL_1_" &amp; INDIRECT("F" &amp; ROW(C891) - 14) &amp; "_p"</f>
        <v>aN_SL_1_6_6_p</v>
      </c>
      <c r="B891">
        <v>0</v>
      </c>
      <c r="C891" t="s">
        <v>4</v>
      </c>
    </row>
    <row r="892" spans="1:8" x14ac:dyDescent="0.25">
      <c r="A892" t="str" cm="1">
        <f t="array" aca="1" ref="A892" ca="1">"aN_SL_2_" &amp; INDIRECT("F" &amp; ROW(C892) - 15) &amp; "_p"</f>
        <v>aN_SL_2_6_6_p</v>
      </c>
      <c r="B892">
        <v>0</v>
      </c>
      <c r="C892" t="s">
        <v>5</v>
      </c>
    </row>
    <row r="893" spans="1:8" x14ac:dyDescent="0.25">
      <c r="A893" t="str" cm="1">
        <f t="array" aca="1" ref="A893" ca="1">"aN_SL_3_" &amp; INDIRECT("F" &amp; ROW(C893) - 16) &amp; "_p"</f>
        <v>aN_SL_3_6_6_p</v>
      </c>
      <c r="B893">
        <v>2</v>
      </c>
      <c r="C893" t="s">
        <v>6</v>
      </c>
    </row>
    <row r="894" spans="1:8" x14ac:dyDescent="0.25">
      <c r="A894" s="5" t="s">
        <v>95</v>
      </c>
    </row>
    <row r="895" spans="1:8" x14ac:dyDescent="0.25">
      <c r="A895" t="str" cm="1">
        <f t="array" aca="1" ref="A895" ca="1">"aN_DRO_1_" &amp; INDIRECT("F" &amp; ROW(C895) - 18) &amp; "_p"</f>
        <v>aN_DRO_1_6_6_p</v>
      </c>
      <c r="B895">
        <v>0.01</v>
      </c>
      <c r="C895" t="s">
        <v>4</v>
      </c>
    </row>
    <row r="896" spans="1:8" x14ac:dyDescent="0.25">
      <c r="A896" t="str" cm="1">
        <f t="array" aca="1" ref="A896" ca="1">"aN_DRO_2_" &amp; INDIRECT("F" &amp; ROW(C896) - 19) &amp; "_p"</f>
        <v>aN_DRO_2_6_6_p</v>
      </c>
      <c r="B896">
        <v>0</v>
      </c>
      <c r="C896" t="s">
        <v>5</v>
      </c>
    </row>
    <row r="897" spans="1:8" x14ac:dyDescent="0.25">
      <c r="A897" t="str" cm="1">
        <f t="array" aca="1" ref="A897" ca="1">"aN_DRO_3_" &amp; INDIRECT("F" &amp; ROW(C897) - 20) &amp; "_p"</f>
        <v>aN_DRO_3_6_6_p</v>
      </c>
      <c r="B897">
        <v>2</v>
      </c>
      <c r="C897" t="s">
        <v>6</v>
      </c>
    </row>
    <row r="898" spans="1:8" x14ac:dyDescent="0.25">
      <c r="A898" s="5" t="s">
        <v>96</v>
      </c>
    </row>
    <row r="899" spans="1:8" x14ac:dyDescent="0.25">
      <c r="A899" t="str" cm="1">
        <f t="array" aca="1" ref="A899" ca="1">"aN_CYC_1_" &amp; INDIRECT("F" &amp; ROW(C899) - 22) &amp; "_p"</f>
        <v>aN_CYC_1_6_6_p</v>
      </c>
      <c r="B899">
        <v>0</v>
      </c>
      <c r="C899" t="s">
        <v>4</v>
      </c>
    </row>
    <row r="900" spans="1:8" x14ac:dyDescent="0.25">
      <c r="A900" t="str" cm="1">
        <f t="array" aca="1" ref="A900" ca="1">"aN_CYC_2_" &amp; INDIRECT("F" &amp; ROW(C900) - 23) &amp; "_p"</f>
        <v>aN_CYC_2_6_6_p</v>
      </c>
      <c r="B900">
        <v>0</v>
      </c>
      <c r="C900" t="s">
        <v>5</v>
      </c>
    </row>
    <row r="901" spans="1:8" x14ac:dyDescent="0.25">
      <c r="A901" t="str" cm="1">
        <f t="array" aca="1" ref="A901" ca="1">"aN_CYC_3_" &amp; INDIRECT("F" &amp; ROW(C901) - 24) &amp; "_p"</f>
        <v>aN_CYC_3_6_6_p</v>
      </c>
      <c r="B901">
        <v>2</v>
      </c>
      <c r="C901" t="s">
        <v>6</v>
      </c>
    </row>
    <row r="902" spans="1:8" x14ac:dyDescent="0.25">
      <c r="A902" s="26" t="str">
        <f>"sector " &amp; D902 &amp; " and region " &amp;E902</f>
        <v>sector 7 and region 1</v>
      </c>
      <c r="B902" s="26"/>
      <c r="C902" s="26"/>
      <c r="D902" s="24">
        <v>7</v>
      </c>
      <c r="E902" s="24">
        <v>1</v>
      </c>
      <c r="F902" s="24" t="str">
        <f>D902 &amp; "_" &amp; E902</f>
        <v>7_1</v>
      </c>
    </row>
    <row r="903" spans="1:8" x14ac:dyDescent="0.25">
      <c r="A903" s="5" t="s">
        <v>3</v>
      </c>
    </row>
    <row r="904" spans="1:8" x14ac:dyDescent="0.25">
      <c r="A904" t="str" cm="1">
        <f t="array" aca="1" ref="A904" ca="1">"aN_T_1_" &amp; INDIRECT("F" &amp; ROW(C904)-2) &amp; "_p"</f>
        <v>aN_T_1_7_1_p</v>
      </c>
      <c r="B904">
        <v>0</v>
      </c>
      <c r="C904" t="s">
        <v>4</v>
      </c>
    </row>
    <row r="905" spans="1:8" x14ac:dyDescent="0.25">
      <c r="A905" t="str" cm="1">
        <f t="array" aca="1" ref="A905" ca="1">"aN_T_2_" &amp; INDIRECT("F" &amp; ROW(C905)-3) &amp; "_p"</f>
        <v>aN_T_2_7_1_p</v>
      </c>
      <c r="B905">
        <v>0</v>
      </c>
      <c r="C905" t="s">
        <v>5</v>
      </c>
    </row>
    <row r="906" spans="1:8" x14ac:dyDescent="0.25">
      <c r="A906" t="str" cm="1">
        <f t="array" aca="1" ref="A906" ca="1">"aN_T_3_" &amp; INDIRECT("F" &amp; ROW(C906)-4) &amp; "_p"</f>
        <v>aN_T_3_7_1_p</v>
      </c>
      <c r="B906">
        <v>2</v>
      </c>
      <c r="C906" t="s">
        <v>6</v>
      </c>
    </row>
    <row r="907" spans="1:8" x14ac:dyDescent="0.25">
      <c r="A907" s="5" t="s">
        <v>8</v>
      </c>
    </row>
    <row r="908" spans="1:8" x14ac:dyDescent="0.25">
      <c r="A908" t="str" cm="1">
        <f t="array" aca="1" ref="A908" ca="1">"aN_WS_1_" &amp; INDIRECT("F" &amp; ROW(C908)-6) &amp; "_p"</f>
        <v>aN_WS_1_7_1_p</v>
      </c>
      <c r="B908">
        <v>0</v>
      </c>
      <c r="C908" t="s">
        <v>4</v>
      </c>
    </row>
    <row r="909" spans="1:8" x14ac:dyDescent="0.25">
      <c r="A909" t="str" cm="1">
        <f t="array" aca="1" ref="A909" ca="1">"aN_WS_2_" &amp; INDIRECT("F" &amp; ROW(C909)-7) &amp; "_p"</f>
        <v>aN_WS_2_7_1_p</v>
      </c>
      <c r="B909">
        <v>0</v>
      </c>
      <c r="C909" t="s">
        <v>5</v>
      </c>
    </row>
    <row r="910" spans="1:8" x14ac:dyDescent="0.25">
      <c r="A910" t="str" cm="1">
        <f t="array" aca="1" ref="A910" ca="1">"aN_WS_3_" &amp; INDIRECT("F" &amp; ROW(C910)-8) &amp; "_p"</f>
        <v>aN_WS_3_7_1_p</v>
      </c>
      <c r="B910">
        <v>2</v>
      </c>
      <c r="C910" t="s">
        <v>6</v>
      </c>
    </row>
    <row r="911" spans="1:8" x14ac:dyDescent="0.25">
      <c r="A911" s="5" t="s">
        <v>7</v>
      </c>
      <c r="F911" s="27"/>
      <c r="G911" s="27"/>
      <c r="H911" s="27"/>
    </row>
    <row r="912" spans="1:8" x14ac:dyDescent="0.25">
      <c r="A912" t="str" cm="1">
        <f t="array" aca="1" ref="A912" ca="1">"aN_PREC_1_" &amp; INDIRECT("F" &amp; ROW(C912) - 10) &amp; "_p"</f>
        <v>aN_PREC_1_7_1_p</v>
      </c>
      <c r="B912">
        <v>0</v>
      </c>
      <c r="C912" t="s">
        <v>4</v>
      </c>
    </row>
    <row r="913" spans="1:8" x14ac:dyDescent="0.25">
      <c r="A913" t="str" cm="1">
        <f t="array" aca="1" ref="A913" ca="1">"aN_PREC_2_" &amp; INDIRECT("F" &amp; ROW(C913) - 11) &amp; "_p"</f>
        <v>aN_PREC_2_7_1_p</v>
      </c>
      <c r="B913">
        <v>0</v>
      </c>
      <c r="C913" t="s">
        <v>5</v>
      </c>
    </row>
    <row r="914" spans="1:8" x14ac:dyDescent="0.25">
      <c r="A914" t="str" cm="1">
        <f t="array" aca="1" ref="A914" ca="1">"aN_PREC_3_" &amp; INDIRECT("F" &amp; ROW(C914) - 12) &amp; "_p"</f>
        <v>aN_PREC_3_7_1_p</v>
      </c>
      <c r="B914">
        <v>2</v>
      </c>
      <c r="C914" t="s">
        <v>6</v>
      </c>
    </row>
    <row r="915" spans="1:8" x14ac:dyDescent="0.25">
      <c r="A915" s="5" t="s">
        <v>9</v>
      </c>
      <c r="F915" s="27"/>
      <c r="G915" s="27"/>
      <c r="H915" s="27"/>
    </row>
    <row r="916" spans="1:8" x14ac:dyDescent="0.25">
      <c r="A916" t="str" cm="1">
        <f t="array" aca="1" ref="A916" ca="1">"aN_SL_1_" &amp; INDIRECT("F" &amp; ROW(C916) - 14) &amp; "_p"</f>
        <v>aN_SL_1_7_1_p</v>
      </c>
      <c r="B916">
        <v>0</v>
      </c>
      <c r="C916" t="s">
        <v>4</v>
      </c>
    </row>
    <row r="917" spans="1:8" x14ac:dyDescent="0.25">
      <c r="A917" t="str" cm="1">
        <f t="array" aca="1" ref="A917" ca="1">"aN_SL_2_" &amp; INDIRECT("F" &amp; ROW(C917) - 15) &amp; "_p"</f>
        <v>aN_SL_2_7_1_p</v>
      </c>
      <c r="B917">
        <v>0</v>
      </c>
      <c r="C917" t="s">
        <v>5</v>
      </c>
    </row>
    <row r="918" spans="1:8" x14ac:dyDescent="0.25">
      <c r="A918" t="str" cm="1">
        <f t="array" aca="1" ref="A918" ca="1">"aN_SL_3_" &amp; INDIRECT("F" &amp; ROW(C918) - 16) &amp; "_p"</f>
        <v>aN_SL_3_7_1_p</v>
      </c>
      <c r="B918">
        <v>2</v>
      </c>
      <c r="C918" t="s">
        <v>6</v>
      </c>
    </row>
    <row r="919" spans="1:8" x14ac:dyDescent="0.25">
      <c r="A919" s="5" t="s">
        <v>95</v>
      </c>
    </row>
    <row r="920" spans="1:8" x14ac:dyDescent="0.25">
      <c r="A920" t="str" cm="1">
        <f t="array" aca="1" ref="A920" ca="1">"aN_DRO_1_" &amp; INDIRECT("F" &amp; ROW(C920) - 18) &amp; "_p"</f>
        <v>aN_DRO_1_7_1_p</v>
      </c>
      <c r="B920">
        <v>0.01</v>
      </c>
      <c r="C920" t="s">
        <v>4</v>
      </c>
    </row>
    <row r="921" spans="1:8" x14ac:dyDescent="0.25">
      <c r="A921" t="str" cm="1">
        <f t="array" aca="1" ref="A921" ca="1">"aN_DRO_2_" &amp; INDIRECT("F" &amp; ROW(C921) - 19) &amp; "_p"</f>
        <v>aN_DRO_2_7_1_p</v>
      </c>
      <c r="B921">
        <v>0</v>
      </c>
      <c r="C921" t="s">
        <v>5</v>
      </c>
    </row>
    <row r="922" spans="1:8" x14ac:dyDescent="0.25">
      <c r="A922" t="str" cm="1">
        <f t="array" aca="1" ref="A922" ca="1">"aN_DRO_3_" &amp; INDIRECT("F" &amp; ROW(C922) - 20) &amp; "_p"</f>
        <v>aN_DRO_3_7_1_p</v>
      </c>
      <c r="B922">
        <v>2</v>
      </c>
      <c r="C922" t="s">
        <v>6</v>
      </c>
    </row>
    <row r="923" spans="1:8" x14ac:dyDescent="0.25">
      <c r="A923" s="5" t="s">
        <v>96</v>
      </c>
    </row>
    <row r="924" spans="1:8" x14ac:dyDescent="0.25">
      <c r="A924" t="str" cm="1">
        <f t="array" aca="1" ref="A924" ca="1">"aN_CYC_1_" &amp; INDIRECT("F" &amp; ROW(C924) - 22) &amp; "_p"</f>
        <v>aN_CYC_1_7_1_p</v>
      </c>
      <c r="B924">
        <v>0</v>
      </c>
      <c r="C924" t="s">
        <v>4</v>
      </c>
    </row>
    <row r="925" spans="1:8" x14ac:dyDescent="0.25">
      <c r="A925" t="str" cm="1">
        <f t="array" aca="1" ref="A925" ca="1">"aN_CYC_2_" &amp; INDIRECT("F" &amp; ROW(C925) - 23) &amp; "_p"</f>
        <v>aN_CYC_2_7_1_p</v>
      </c>
      <c r="B925">
        <v>0</v>
      </c>
      <c r="C925" t="s">
        <v>5</v>
      </c>
    </row>
    <row r="926" spans="1:8" x14ac:dyDescent="0.25">
      <c r="A926" t="str" cm="1">
        <f t="array" aca="1" ref="A926" ca="1">"aN_CYC_3_" &amp; INDIRECT("F" &amp; ROW(C926) - 24) &amp; "_p"</f>
        <v>aN_CYC_3_7_1_p</v>
      </c>
      <c r="B926">
        <v>2</v>
      </c>
      <c r="C926" t="s">
        <v>6</v>
      </c>
    </row>
    <row r="927" spans="1:8" x14ac:dyDescent="0.25">
      <c r="A927" s="26" t="str">
        <f>"sector " &amp; D927 &amp; " and region " &amp;E927</f>
        <v>sector 7 and region 2</v>
      </c>
      <c r="B927" s="26"/>
      <c r="C927" s="26"/>
      <c r="D927" s="24">
        <v>7</v>
      </c>
      <c r="E927" s="24">
        <v>2</v>
      </c>
      <c r="F927" s="24" t="str">
        <f>D927 &amp; "_" &amp; E927</f>
        <v>7_2</v>
      </c>
    </row>
    <row r="928" spans="1:8" x14ac:dyDescent="0.25">
      <c r="A928" s="5" t="s">
        <v>3</v>
      </c>
    </row>
    <row r="929" spans="1:8" x14ac:dyDescent="0.25">
      <c r="A929" t="str" cm="1">
        <f t="array" aca="1" ref="A929" ca="1">"aN_T_1_" &amp; INDIRECT("F" &amp; ROW(C929)-2) &amp; "_p"</f>
        <v>aN_T_1_7_2_p</v>
      </c>
      <c r="B929">
        <v>0</v>
      </c>
      <c r="C929" t="s">
        <v>4</v>
      </c>
    </row>
    <row r="930" spans="1:8" x14ac:dyDescent="0.25">
      <c r="A930" t="str" cm="1">
        <f t="array" aca="1" ref="A930" ca="1">"aN_T_2_" &amp; INDIRECT("F" &amp; ROW(C930)-3) &amp; "_p"</f>
        <v>aN_T_2_7_2_p</v>
      </c>
      <c r="B930">
        <v>0</v>
      </c>
      <c r="C930" t="s">
        <v>5</v>
      </c>
    </row>
    <row r="931" spans="1:8" x14ac:dyDescent="0.25">
      <c r="A931" t="str" cm="1">
        <f t="array" aca="1" ref="A931" ca="1">"aN_T_3_" &amp; INDIRECT("F" &amp; ROW(C931)-4) &amp; "_p"</f>
        <v>aN_T_3_7_2_p</v>
      </c>
      <c r="B931">
        <v>2</v>
      </c>
      <c r="C931" t="s">
        <v>6</v>
      </c>
    </row>
    <row r="932" spans="1:8" x14ac:dyDescent="0.25">
      <c r="A932" s="5" t="s">
        <v>8</v>
      </c>
    </row>
    <row r="933" spans="1:8" x14ac:dyDescent="0.25">
      <c r="A933" t="str" cm="1">
        <f t="array" aca="1" ref="A933" ca="1">"aN_WS_1_" &amp; INDIRECT("F" &amp; ROW(C933)-6) &amp; "_p"</f>
        <v>aN_WS_1_7_2_p</v>
      </c>
      <c r="B933">
        <v>0</v>
      </c>
      <c r="C933" t="s">
        <v>4</v>
      </c>
    </row>
    <row r="934" spans="1:8" x14ac:dyDescent="0.25">
      <c r="A934" t="str" cm="1">
        <f t="array" aca="1" ref="A934" ca="1">"aN_WS_2_" &amp; INDIRECT("F" &amp; ROW(C934)-7) &amp; "_p"</f>
        <v>aN_WS_2_7_2_p</v>
      </c>
      <c r="B934">
        <v>0</v>
      </c>
      <c r="C934" t="s">
        <v>5</v>
      </c>
    </row>
    <row r="935" spans="1:8" x14ac:dyDescent="0.25">
      <c r="A935" t="str" cm="1">
        <f t="array" aca="1" ref="A935" ca="1">"aN_WS_3_" &amp; INDIRECT("F" &amp; ROW(C935)-8) &amp; "_p"</f>
        <v>aN_WS_3_7_2_p</v>
      </c>
      <c r="B935">
        <v>2</v>
      </c>
      <c r="C935" t="s">
        <v>6</v>
      </c>
    </row>
    <row r="936" spans="1:8" x14ac:dyDescent="0.25">
      <c r="A936" s="5" t="s">
        <v>7</v>
      </c>
      <c r="F936" s="27"/>
      <c r="G936" s="27"/>
      <c r="H936" s="27"/>
    </row>
    <row r="937" spans="1:8" x14ac:dyDescent="0.25">
      <c r="A937" t="str" cm="1">
        <f t="array" aca="1" ref="A937" ca="1">"aN_PREC_1_" &amp; INDIRECT("F" &amp; ROW(C937) - 10) &amp; "_p"</f>
        <v>aN_PREC_1_7_2_p</v>
      </c>
      <c r="B937">
        <v>0</v>
      </c>
      <c r="C937" t="s">
        <v>4</v>
      </c>
    </row>
    <row r="938" spans="1:8" x14ac:dyDescent="0.25">
      <c r="A938" t="str" cm="1">
        <f t="array" aca="1" ref="A938" ca="1">"aN_PREC_2_" &amp; INDIRECT("F" &amp; ROW(C938) - 11) &amp; "_p"</f>
        <v>aN_PREC_2_7_2_p</v>
      </c>
      <c r="B938">
        <v>0</v>
      </c>
      <c r="C938" t="s">
        <v>5</v>
      </c>
    </row>
    <row r="939" spans="1:8" x14ac:dyDescent="0.25">
      <c r="A939" t="str" cm="1">
        <f t="array" aca="1" ref="A939" ca="1">"aN_PREC_3_" &amp; INDIRECT("F" &amp; ROW(C939) - 12) &amp; "_p"</f>
        <v>aN_PREC_3_7_2_p</v>
      </c>
      <c r="B939">
        <v>2</v>
      </c>
      <c r="C939" t="s">
        <v>6</v>
      </c>
    </row>
    <row r="940" spans="1:8" x14ac:dyDescent="0.25">
      <c r="A940" s="5" t="s">
        <v>9</v>
      </c>
      <c r="F940" s="27"/>
      <c r="G940" s="27"/>
      <c r="H940" s="27"/>
    </row>
    <row r="941" spans="1:8" x14ac:dyDescent="0.25">
      <c r="A941" t="str" cm="1">
        <f t="array" aca="1" ref="A941" ca="1">"aN_SL_1_" &amp; INDIRECT("F" &amp; ROW(C941) - 14) &amp; "_p"</f>
        <v>aN_SL_1_7_2_p</v>
      </c>
      <c r="B941">
        <v>0</v>
      </c>
      <c r="C941" t="s">
        <v>4</v>
      </c>
    </row>
    <row r="942" spans="1:8" x14ac:dyDescent="0.25">
      <c r="A942" t="str" cm="1">
        <f t="array" aca="1" ref="A942" ca="1">"aN_SL_2_" &amp; INDIRECT("F" &amp; ROW(C942) - 15) &amp; "_p"</f>
        <v>aN_SL_2_7_2_p</v>
      </c>
      <c r="B942">
        <v>0</v>
      </c>
      <c r="C942" t="s">
        <v>5</v>
      </c>
    </row>
    <row r="943" spans="1:8" x14ac:dyDescent="0.25">
      <c r="A943" t="str" cm="1">
        <f t="array" aca="1" ref="A943" ca="1">"aN_SL_3_" &amp; INDIRECT("F" &amp; ROW(C943) - 16) &amp; "_p"</f>
        <v>aN_SL_3_7_2_p</v>
      </c>
      <c r="B943">
        <v>2</v>
      </c>
      <c r="C943" t="s">
        <v>6</v>
      </c>
    </row>
    <row r="944" spans="1:8" x14ac:dyDescent="0.25">
      <c r="A944" s="5" t="s">
        <v>95</v>
      </c>
    </row>
    <row r="945" spans="1:6" x14ac:dyDescent="0.25">
      <c r="A945" t="str" cm="1">
        <f t="array" aca="1" ref="A945" ca="1">"aN_DRO_1_" &amp; INDIRECT("F" &amp; ROW(C945) - 18) &amp; "_p"</f>
        <v>aN_DRO_1_7_2_p</v>
      </c>
      <c r="B945">
        <v>0.01</v>
      </c>
      <c r="C945" t="s">
        <v>4</v>
      </c>
    </row>
    <row r="946" spans="1:6" x14ac:dyDescent="0.25">
      <c r="A946" t="str" cm="1">
        <f t="array" aca="1" ref="A946" ca="1">"aN_DRO_2_" &amp; INDIRECT("F" &amp; ROW(C946) - 19) &amp; "_p"</f>
        <v>aN_DRO_2_7_2_p</v>
      </c>
      <c r="B946">
        <v>0</v>
      </c>
      <c r="C946" t="s">
        <v>5</v>
      </c>
    </row>
    <row r="947" spans="1:6" x14ac:dyDescent="0.25">
      <c r="A947" t="str" cm="1">
        <f t="array" aca="1" ref="A947" ca="1">"aN_DRO_3_" &amp; INDIRECT("F" &amp; ROW(C947) - 20) &amp; "_p"</f>
        <v>aN_DRO_3_7_2_p</v>
      </c>
      <c r="B947">
        <v>2</v>
      </c>
      <c r="C947" t="s">
        <v>6</v>
      </c>
    </row>
    <row r="948" spans="1:6" x14ac:dyDescent="0.25">
      <c r="A948" s="5" t="s">
        <v>96</v>
      </c>
    </row>
    <row r="949" spans="1:6" x14ac:dyDescent="0.25">
      <c r="A949" t="str" cm="1">
        <f t="array" aca="1" ref="A949" ca="1">"aN_CYC_1_" &amp; INDIRECT("F" &amp; ROW(C949) - 22) &amp; "_p"</f>
        <v>aN_CYC_1_7_2_p</v>
      </c>
      <c r="B949">
        <v>0</v>
      </c>
      <c r="C949" t="s">
        <v>4</v>
      </c>
    </row>
    <row r="950" spans="1:6" x14ac:dyDescent="0.25">
      <c r="A950" t="str" cm="1">
        <f t="array" aca="1" ref="A950" ca="1">"aN_CYC_2_" &amp; INDIRECT("F" &amp; ROW(C950) - 23) &amp; "_p"</f>
        <v>aN_CYC_2_7_2_p</v>
      </c>
      <c r="B950">
        <v>0</v>
      </c>
      <c r="C950" t="s">
        <v>5</v>
      </c>
    </row>
    <row r="951" spans="1:6" x14ac:dyDescent="0.25">
      <c r="A951" t="str" cm="1">
        <f t="array" aca="1" ref="A951" ca="1">"aN_CYC_3_" &amp; INDIRECT("F" &amp; ROW(C951) - 24) &amp; "_p"</f>
        <v>aN_CYC_3_7_2_p</v>
      </c>
      <c r="B951">
        <v>2</v>
      </c>
      <c r="C951" t="s">
        <v>6</v>
      </c>
    </row>
    <row r="952" spans="1:6" x14ac:dyDescent="0.25">
      <c r="A952" s="26" t="str">
        <f>"sector " &amp; D952 &amp; " and region " &amp;E952</f>
        <v>sector 7 and region 3</v>
      </c>
      <c r="B952" s="26"/>
      <c r="C952" s="26"/>
      <c r="D952" s="24">
        <v>7</v>
      </c>
      <c r="E952" s="24">
        <v>3</v>
      </c>
      <c r="F952" s="24" t="str">
        <f>D952 &amp; "_" &amp; E952</f>
        <v>7_3</v>
      </c>
    </row>
    <row r="953" spans="1:6" x14ac:dyDescent="0.25">
      <c r="A953" s="5" t="s">
        <v>3</v>
      </c>
    </row>
    <row r="954" spans="1:6" x14ac:dyDescent="0.25">
      <c r="A954" t="str" cm="1">
        <f t="array" aca="1" ref="A954" ca="1">"aN_T_1_" &amp; INDIRECT("F" &amp; ROW(C954)-2) &amp; "_p"</f>
        <v>aN_T_1_7_3_p</v>
      </c>
      <c r="B954">
        <v>0</v>
      </c>
      <c r="C954" t="s">
        <v>4</v>
      </c>
    </row>
    <row r="955" spans="1:6" x14ac:dyDescent="0.25">
      <c r="A955" t="str" cm="1">
        <f t="array" aca="1" ref="A955" ca="1">"aN_T_2_" &amp; INDIRECT("F" &amp; ROW(C955)-3) &amp; "_p"</f>
        <v>aN_T_2_7_3_p</v>
      </c>
      <c r="B955">
        <v>0</v>
      </c>
      <c r="C955" t="s">
        <v>5</v>
      </c>
    </row>
    <row r="956" spans="1:6" x14ac:dyDescent="0.25">
      <c r="A956" t="str" cm="1">
        <f t="array" aca="1" ref="A956" ca="1">"aN_T_3_" &amp; INDIRECT("F" &amp; ROW(C956)-4) &amp; "_p"</f>
        <v>aN_T_3_7_3_p</v>
      </c>
      <c r="B956">
        <v>2</v>
      </c>
      <c r="C956" t="s">
        <v>6</v>
      </c>
    </row>
    <row r="957" spans="1:6" x14ac:dyDescent="0.25">
      <c r="A957" s="5" t="s">
        <v>8</v>
      </c>
    </row>
    <row r="958" spans="1:6" x14ac:dyDescent="0.25">
      <c r="A958" t="str" cm="1">
        <f t="array" aca="1" ref="A958" ca="1">"aN_WS_1_" &amp; INDIRECT("F" &amp; ROW(C958)-6) &amp; "_p"</f>
        <v>aN_WS_1_7_3_p</v>
      </c>
      <c r="B958">
        <v>0</v>
      </c>
      <c r="C958" t="s">
        <v>4</v>
      </c>
    </row>
    <row r="959" spans="1:6" x14ac:dyDescent="0.25">
      <c r="A959" t="str" cm="1">
        <f t="array" aca="1" ref="A959" ca="1">"aN_WS_2_" &amp; INDIRECT("F" &amp; ROW(C959)-7) &amp; "_p"</f>
        <v>aN_WS_2_7_3_p</v>
      </c>
      <c r="B959">
        <v>0</v>
      </c>
      <c r="C959" t="s">
        <v>5</v>
      </c>
    </row>
    <row r="960" spans="1:6" x14ac:dyDescent="0.25">
      <c r="A960" t="str" cm="1">
        <f t="array" aca="1" ref="A960" ca="1">"aN_WS_3_" &amp; INDIRECT("F" &amp; ROW(C960)-8) &amp; "_p"</f>
        <v>aN_WS_3_7_3_p</v>
      </c>
      <c r="B960">
        <v>2</v>
      </c>
      <c r="C960" t="s">
        <v>6</v>
      </c>
    </row>
    <row r="961" spans="1:8" x14ac:dyDescent="0.25">
      <c r="A961" s="5" t="s">
        <v>7</v>
      </c>
      <c r="F961" s="27"/>
      <c r="G961" s="27"/>
      <c r="H961" s="27"/>
    </row>
    <row r="962" spans="1:8" x14ac:dyDescent="0.25">
      <c r="A962" t="str" cm="1">
        <f t="array" aca="1" ref="A962" ca="1">"aN_PREC_1_" &amp; INDIRECT("F" &amp; ROW(C962) - 10) &amp; "_p"</f>
        <v>aN_PREC_1_7_3_p</v>
      </c>
      <c r="B962">
        <v>0</v>
      </c>
      <c r="C962" t="s">
        <v>4</v>
      </c>
    </row>
    <row r="963" spans="1:8" x14ac:dyDescent="0.25">
      <c r="A963" t="str" cm="1">
        <f t="array" aca="1" ref="A963" ca="1">"aN_PREC_2_" &amp; INDIRECT("F" &amp; ROW(C963) - 11) &amp; "_p"</f>
        <v>aN_PREC_2_7_3_p</v>
      </c>
      <c r="B963">
        <v>0</v>
      </c>
      <c r="C963" t="s">
        <v>5</v>
      </c>
    </row>
    <row r="964" spans="1:8" x14ac:dyDescent="0.25">
      <c r="A964" t="str" cm="1">
        <f t="array" aca="1" ref="A964" ca="1">"aN_PREC_3_" &amp; INDIRECT("F" &amp; ROW(C964) - 12) &amp; "_p"</f>
        <v>aN_PREC_3_7_3_p</v>
      </c>
      <c r="B964">
        <v>2</v>
      </c>
      <c r="C964" t="s">
        <v>6</v>
      </c>
    </row>
    <row r="965" spans="1:8" x14ac:dyDescent="0.25">
      <c r="A965" s="5" t="s">
        <v>9</v>
      </c>
      <c r="F965" s="27"/>
      <c r="G965" s="27"/>
      <c r="H965" s="27"/>
    </row>
    <row r="966" spans="1:8" x14ac:dyDescent="0.25">
      <c r="A966" t="str" cm="1">
        <f t="array" aca="1" ref="A966" ca="1">"aN_SL_1_" &amp; INDIRECT("F" &amp; ROW(C966) - 14) &amp; "_p"</f>
        <v>aN_SL_1_7_3_p</v>
      </c>
      <c r="B966">
        <v>0</v>
      </c>
      <c r="C966" t="s">
        <v>4</v>
      </c>
    </row>
    <row r="967" spans="1:8" x14ac:dyDescent="0.25">
      <c r="A967" t="str" cm="1">
        <f t="array" aca="1" ref="A967" ca="1">"aN_SL_2_" &amp; INDIRECT("F" &amp; ROW(C967) - 15) &amp; "_p"</f>
        <v>aN_SL_2_7_3_p</v>
      </c>
      <c r="B967">
        <v>0</v>
      </c>
      <c r="C967" t="s">
        <v>5</v>
      </c>
    </row>
    <row r="968" spans="1:8" x14ac:dyDescent="0.25">
      <c r="A968" t="str" cm="1">
        <f t="array" aca="1" ref="A968" ca="1">"aN_SL_3_" &amp; INDIRECT("F" &amp; ROW(C968) - 16) &amp; "_p"</f>
        <v>aN_SL_3_7_3_p</v>
      </c>
      <c r="B968">
        <v>2</v>
      </c>
      <c r="C968" t="s">
        <v>6</v>
      </c>
    </row>
    <row r="969" spans="1:8" x14ac:dyDescent="0.25">
      <c r="A969" s="5" t="s">
        <v>95</v>
      </c>
    </row>
    <row r="970" spans="1:8" x14ac:dyDescent="0.25">
      <c r="A970" t="str" cm="1">
        <f t="array" aca="1" ref="A970" ca="1">"aN_DRO_1_" &amp; INDIRECT("F" &amp; ROW(C970) - 18) &amp; "_p"</f>
        <v>aN_DRO_1_7_3_p</v>
      </c>
      <c r="B970">
        <v>0.01</v>
      </c>
      <c r="C970" t="s">
        <v>4</v>
      </c>
    </row>
    <row r="971" spans="1:8" x14ac:dyDescent="0.25">
      <c r="A971" t="str" cm="1">
        <f t="array" aca="1" ref="A971" ca="1">"aN_DRO_2_" &amp; INDIRECT("F" &amp; ROW(C971) - 19) &amp; "_p"</f>
        <v>aN_DRO_2_7_3_p</v>
      </c>
      <c r="B971">
        <v>0</v>
      </c>
      <c r="C971" t="s">
        <v>5</v>
      </c>
    </row>
    <row r="972" spans="1:8" x14ac:dyDescent="0.25">
      <c r="A972" t="str" cm="1">
        <f t="array" aca="1" ref="A972" ca="1">"aN_DRO_3_" &amp; INDIRECT("F" &amp; ROW(C972) - 20) &amp; "_p"</f>
        <v>aN_DRO_3_7_3_p</v>
      </c>
      <c r="B972">
        <v>2</v>
      </c>
      <c r="C972" t="s">
        <v>6</v>
      </c>
    </row>
    <row r="973" spans="1:8" x14ac:dyDescent="0.25">
      <c r="A973" s="5" t="s">
        <v>96</v>
      </c>
    </row>
    <row r="974" spans="1:8" x14ac:dyDescent="0.25">
      <c r="A974" t="str" cm="1">
        <f t="array" aca="1" ref="A974" ca="1">"aN_CYC_1_" &amp; INDIRECT("F" &amp; ROW(C974) - 22) &amp; "_p"</f>
        <v>aN_CYC_1_7_3_p</v>
      </c>
      <c r="B974">
        <v>0</v>
      </c>
      <c r="C974" t="s">
        <v>4</v>
      </c>
    </row>
    <row r="975" spans="1:8" x14ac:dyDescent="0.25">
      <c r="A975" t="str" cm="1">
        <f t="array" aca="1" ref="A975" ca="1">"aN_CYC_2_" &amp; INDIRECT("F" &amp; ROW(C975) - 23) &amp; "_p"</f>
        <v>aN_CYC_2_7_3_p</v>
      </c>
      <c r="B975">
        <v>0</v>
      </c>
      <c r="C975" t="s">
        <v>5</v>
      </c>
    </row>
    <row r="976" spans="1:8" x14ac:dyDescent="0.25">
      <c r="A976" t="str" cm="1">
        <f t="array" aca="1" ref="A976" ca="1">"aN_CYC_3_" &amp; INDIRECT("F" &amp; ROW(C976) - 24) &amp; "_p"</f>
        <v>aN_CYC_3_7_3_p</v>
      </c>
      <c r="B976">
        <v>2</v>
      </c>
      <c r="C976" t="s">
        <v>6</v>
      </c>
    </row>
    <row r="977" spans="1:8" x14ac:dyDescent="0.25">
      <c r="A977" s="26" t="str">
        <f>"sector " &amp; D977 &amp; " and region " &amp;E977</f>
        <v>sector 7 and region 4</v>
      </c>
      <c r="B977" s="26"/>
      <c r="C977" s="26"/>
      <c r="D977" s="24">
        <v>7</v>
      </c>
      <c r="E977" s="24">
        <v>4</v>
      </c>
      <c r="F977" s="24" t="str">
        <f>D977 &amp; "_" &amp; E977</f>
        <v>7_4</v>
      </c>
    </row>
    <row r="978" spans="1:8" x14ac:dyDescent="0.25">
      <c r="A978" s="5" t="s">
        <v>3</v>
      </c>
    </row>
    <row r="979" spans="1:8" x14ac:dyDescent="0.25">
      <c r="A979" t="str" cm="1">
        <f t="array" aca="1" ref="A979" ca="1">"aN_T_1_" &amp; INDIRECT("F" &amp; ROW(C979)-2) &amp; "_p"</f>
        <v>aN_T_1_7_4_p</v>
      </c>
      <c r="B979">
        <v>0</v>
      </c>
      <c r="C979" t="s">
        <v>4</v>
      </c>
    </row>
    <row r="980" spans="1:8" x14ac:dyDescent="0.25">
      <c r="A980" t="str" cm="1">
        <f t="array" aca="1" ref="A980" ca="1">"aN_T_2_" &amp; INDIRECT("F" &amp; ROW(C980)-3) &amp; "_p"</f>
        <v>aN_T_2_7_4_p</v>
      </c>
      <c r="B980">
        <v>0</v>
      </c>
      <c r="C980" t="s">
        <v>5</v>
      </c>
    </row>
    <row r="981" spans="1:8" x14ac:dyDescent="0.25">
      <c r="A981" t="str" cm="1">
        <f t="array" aca="1" ref="A981" ca="1">"aN_T_3_" &amp; INDIRECT("F" &amp; ROW(C981)-4) &amp; "_p"</f>
        <v>aN_T_3_7_4_p</v>
      </c>
      <c r="B981">
        <v>2</v>
      </c>
      <c r="C981" t="s">
        <v>6</v>
      </c>
    </row>
    <row r="982" spans="1:8" x14ac:dyDescent="0.25">
      <c r="A982" s="5" t="s">
        <v>8</v>
      </c>
    </row>
    <row r="983" spans="1:8" x14ac:dyDescent="0.25">
      <c r="A983" t="str" cm="1">
        <f t="array" aca="1" ref="A983" ca="1">"aN_WS_1_" &amp; INDIRECT("F" &amp; ROW(C983)-6) &amp; "_p"</f>
        <v>aN_WS_1_7_4_p</v>
      </c>
      <c r="B983">
        <v>0</v>
      </c>
      <c r="C983" t="s">
        <v>4</v>
      </c>
    </row>
    <row r="984" spans="1:8" x14ac:dyDescent="0.25">
      <c r="A984" t="str" cm="1">
        <f t="array" aca="1" ref="A984" ca="1">"aN_WS_2_" &amp; INDIRECT("F" &amp; ROW(C984)-7) &amp; "_p"</f>
        <v>aN_WS_2_7_4_p</v>
      </c>
      <c r="B984">
        <v>0</v>
      </c>
      <c r="C984" t="s">
        <v>5</v>
      </c>
    </row>
    <row r="985" spans="1:8" x14ac:dyDescent="0.25">
      <c r="A985" t="str" cm="1">
        <f t="array" aca="1" ref="A985" ca="1">"aN_WS_3_" &amp; INDIRECT("F" &amp; ROW(C985)-8) &amp; "_p"</f>
        <v>aN_WS_3_7_4_p</v>
      </c>
      <c r="B985">
        <v>2</v>
      </c>
      <c r="C985" t="s">
        <v>6</v>
      </c>
    </row>
    <row r="986" spans="1:8" x14ac:dyDescent="0.25">
      <c r="A986" s="5" t="s">
        <v>7</v>
      </c>
      <c r="F986" s="27"/>
      <c r="G986" s="27"/>
      <c r="H986" s="27"/>
    </row>
    <row r="987" spans="1:8" x14ac:dyDescent="0.25">
      <c r="A987" t="str" cm="1">
        <f t="array" aca="1" ref="A987" ca="1">"aN_PREC_1_" &amp; INDIRECT("F" &amp; ROW(C987) - 10) &amp; "_p"</f>
        <v>aN_PREC_1_7_4_p</v>
      </c>
      <c r="B987">
        <v>0</v>
      </c>
      <c r="C987" t="s">
        <v>4</v>
      </c>
    </row>
    <row r="988" spans="1:8" x14ac:dyDescent="0.25">
      <c r="A988" t="str" cm="1">
        <f t="array" aca="1" ref="A988" ca="1">"aN_PREC_2_" &amp; INDIRECT("F" &amp; ROW(C988) - 11) &amp; "_p"</f>
        <v>aN_PREC_2_7_4_p</v>
      </c>
      <c r="B988">
        <v>0</v>
      </c>
      <c r="C988" t="s">
        <v>5</v>
      </c>
    </row>
    <row r="989" spans="1:8" x14ac:dyDescent="0.25">
      <c r="A989" t="str" cm="1">
        <f t="array" aca="1" ref="A989" ca="1">"aN_PREC_3_" &amp; INDIRECT("F" &amp; ROW(C989) - 12) &amp; "_p"</f>
        <v>aN_PREC_3_7_4_p</v>
      </c>
      <c r="B989">
        <v>2</v>
      </c>
      <c r="C989" t="s">
        <v>6</v>
      </c>
    </row>
    <row r="990" spans="1:8" x14ac:dyDescent="0.25">
      <c r="A990" s="5" t="s">
        <v>9</v>
      </c>
      <c r="F990" s="27"/>
      <c r="G990" s="27"/>
      <c r="H990" s="27"/>
    </row>
    <row r="991" spans="1:8" x14ac:dyDescent="0.25">
      <c r="A991" t="str" cm="1">
        <f t="array" aca="1" ref="A991" ca="1">"aN_SL_1_" &amp; INDIRECT("F" &amp; ROW(C991) - 14) &amp; "_p"</f>
        <v>aN_SL_1_7_4_p</v>
      </c>
      <c r="B991">
        <v>0</v>
      </c>
      <c r="C991" t="s">
        <v>4</v>
      </c>
    </row>
    <row r="992" spans="1:8" x14ac:dyDescent="0.25">
      <c r="A992" t="str" cm="1">
        <f t="array" aca="1" ref="A992" ca="1">"aN_SL_2_" &amp; INDIRECT("F" &amp; ROW(C992) - 15) &amp; "_p"</f>
        <v>aN_SL_2_7_4_p</v>
      </c>
      <c r="B992">
        <v>0</v>
      </c>
      <c r="C992" t="s">
        <v>5</v>
      </c>
    </row>
    <row r="993" spans="1:6" x14ac:dyDescent="0.25">
      <c r="A993" t="str" cm="1">
        <f t="array" aca="1" ref="A993" ca="1">"aN_SL_3_" &amp; INDIRECT("F" &amp; ROW(C993) - 16) &amp; "_p"</f>
        <v>aN_SL_3_7_4_p</v>
      </c>
      <c r="B993">
        <v>2</v>
      </c>
      <c r="C993" t="s">
        <v>6</v>
      </c>
    </row>
    <row r="994" spans="1:6" x14ac:dyDescent="0.25">
      <c r="A994" s="5" t="s">
        <v>95</v>
      </c>
    </row>
    <row r="995" spans="1:6" x14ac:dyDescent="0.25">
      <c r="A995" t="str" cm="1">
        <f t="array" aca="1" ref="A995" ca="1">"aN_DRO_1_" &amp; INDIRECT("F" &amp; ROW(C995) - 18) &amp; "_p"</f>
        <v>aN_DRO_1_7_4_p</v>
      </c>
      <c r="B995">
        <v>0.01</v>
      </c>
      <c r="C995" t="s">
        <v>4</v>
      </c>
    </row>
    <row r="996" spans="1:6" x14ac:dyDescent="0.25">
      <c r="A996" t="str" cm="1">
        <f t="array" aca="1" ref="A996" ca="1">"aN_DRO_2_" &amp; INDIRECT("F" &amp; ROW(C996) - 19) &amp; "_p"</f>
        <v>aN_DRO_2_7_4_p</v>
      </c>
      <c r="B996">
        <v>0</v>
      </c>
      <c r="C996" t="s">
        <v>5</v>
      </c>
    </row>
    <row r="997" spans="1:6" x14ac:dyDescent="0.25">
      <c r="A997" t="str" cm="1">
        <f t="array" aca="1" ref="A997" ca="1">"aN_DRO_3_" &amp; INDIRECT("F" &amp; ROW(C997) - 20) &amp; "_p"</f>
        <v>aN_DRO_3_7_4_p</v>
      </c>
      <c r="B997">
        <v>2</v>
      </c>
      <c r="C997" t="s">
        <v>6</v>
      </c>
    </row>
    <row r="998" spans="1:6" x14ac:dyDescent="0.25">
      <c r="A998" s="5" t="s">
        <v>96</v>
      </c>
    </row>
    <row r="999" spans="1:6" x14ac:dyDescent="0.25">
      <c r="A999" t="str" cm="1">
        <f t="array" aca="1" ref="A999" ca="1">"aN_CYC_1_" &amp; INDIRECT("F" &amp; ROW(C999) - 22) &amp; "_p"</f>
        <v>aN_CYC_1_7_4_p</v>
      </c>
      <c r="B999">
        <v>0</v>
      </c>
      <c r="C999" t="s">
        <v>4</v>
      </c>
    </row>
    <row r="1000" spans="1:6" x14ac:dyDescent="0.25">
      <c r="A1000" t="str" cm="1">
        <f t="array" aca="1" ref="A1000" ca="1">"aN_CYC_2_" &amp; INDIRECT("F" &amp; ROW(C1000) - 23) &amp; "_p"</f>
        <v>aN_CYC_2_7_4_p</v>
      </c>
      <c r="B1000">
        <v>0</v>
      </c>
      <c r="C1000" t="s">
        <v>5</v>
      </c>
    </row>
    <row r="1001" spans="1:6" x14ac:dyDescent="0.25">
      <c r="A1001" t="str" cm="1">
        <f t="array" aca="1" ref="A1001" ca="1">"aN_CYC_3_" &amp; INDIRECT("F" &amp; ROW(C1001) - 24) &amp; "_p"</f>
        <v>aN_CYC_3_7_4_p</v>
      </c>
      <c r="B1001">
        <v>2</v>
      </c>
      <c r="C1001" t="s">
        <v>6</v>
      </c>
    </row>
    <row r="1002" spans="1:6" x14ac:dyDescent="0.25">
      <c r="A1002" s="26" t="str">
        <f>"sector " &amp; D1002 &amp; " and region " &amp;E1002</f>
        <v>sector 7 and region 5</v>
      </c>
      <c r="B1002" s="26"/>
      <c r="C1002" s="26"/>
      <c r="D1002" s="24">
        <v>7</v>
      </c>
      <c r="E1002" s="24">
        <v>5</v>
      </c>
      <c r="F1002" s="24" t="str">
        <f>D1002 &amp; "_" &amp; E1002</f>
        <v>7_5</v>
      </c>
    </row>
    <row r="1003" spans="1:6" x14ac:dyDescent="0.25">
      <c r="A1003" s="5" t="s">
        <v>3</v>
      </c>
    </row>
    <row r="1004" spans="1:6" x14ac:dyDescent="0.25">
      <c r="A1004" t="str" cm="1">
        <f t="array" aca="1" ref="A1004" ca="1">"aN_T_1_" &amp; INDIRECT("F" &amp; ROW(C1004)-2) &amp; "_p"</f>
        <v>aN_T_1_7_5_p</v>
      </c>
      <c r="B1004">
        <v>0</v>
      </c>
      <c r="C1004" t="s">
        <v>4</v>
      </c>
    </row>
    <row r="1005" spans="1:6" x14ac:dyDescent="0.25">
      <c r="A1005" t="str" cm="1">
        <f t="array" aca="1" ref="A1005" ca="1">"aN_T_2_" &amp; INDIRECT("F" &amp; ROW(C1005)-3) &amp; "_p"</f>
        <v>aN_T_2_7_5_p</v>
      </c>
      <c r="B1005">
        <v>0</v>
      </c>
      <c r="C1005" t="s">
        <v>5</v>
      </c>
    </row>
    <row r="1006" spans="1:6" x14ac:dyDescent="0.25">
      <c r="A1006" t="str" cm="1">
        <f t="array" aca="1" ref="A1006" ca="1">"aN_T_3_" &amp; INDIRECT("F" &amp; ROW(C1006)-4) &amp; "_p"</f>
        <v>aN_T_3_7_5_p</v>
      </c>
      <c r="B1006">
        <v>2</v>
      </c>
      <c r="C1006" t="s">
        <v>6</v>
      </c>
    </row>
    <row r="1007" spans="1:6" x14ac:dyDescent="0.25">
      <c r="A1007" s="5" t="s">
        <v>8</v>
      </c>
    </row>
    <row r="1008" spans="1:6" x14ac:dyDescent="0.25">
      <c r="A1008" t="str" cm="1">
        <f t="array" aca="1" ref="A1008" ca="1">"aN_WS_1_" &amp; INDIRECT("F" &amp; ROW(C1008)-6) &amp; "_p"</f>
        <v>aN_WS_1_7_5_p</v>
      </c>
      <c r="B1008">
        <v>0</v>
      </c>
      <c r="C1008" t="s">
        <v>4</v>
      </c>
    </row>
    <row r="1009" spans="1:8" x14ac:dyDescent="0.25">
      <c r="A1009" t="str" cm="1">
        <f t="array" aca="1" ref="A1009" ca="1">"aN_WS_2_" &amp; INDIRECT("F" &amp; ROW(C1009)-7) &amp; "_p"</f>
        <v>aN_WS_2_7_5_p</v>
      </c>
      <c r="B1009">
        <v>0</v>
      </c>
      <c r="C1009" t="s">
        <v>5</v>
      </c>
    </row>
    <row r="1010" spans="1:8" x14ac:dyDescent="0.25">
      <c r="A1010" t="str" cm="1">
        <f t="array" aca="1" ref="A1010" ca="1">"aN_WS_3_" &amp; INDIRECT("F" &amp; ROW(C1010)-8) &amp; "_p"</f>
        <v>aN_WS_3_7_5_p</v>
      </c>
      <c r="B1010">
        <v>2</v>
      </c>
      <c r="C1010" t="s">
        <v>6</v>
      </c>
    </row>
    <row r="1011" spans="1:8" x14ac:dyDescent="0.25">
      <c r="A1011" s="5" t="s">
        <v>7</v>
      </c>
      <c r="F1011" s="27"/>
      <c r="G1011" s="27"/>
      <c r="H1011" s="27"/>
    </row>
    <row r="1012" spans="1:8" x14ac:dyDescent="0.25">
      <c r="A1012" t="str" cm="1">
        <f t="array" aca="1" ref="A1012" ca="1">"aN_PREC_1_" &amp; INDIRECT("F" &amp; ROW(C1012) - 10) &amp; "_p"</f>
        <v>aN_PREC_1_7_5_p</v>
      </c>
      <c r="B1012">
        <v>0</v>
      </c>
      <c r="C1012" t="s">
        <v>4</v>
      </c>
    </row>
    <row r="1013" spans="1:8" x14ac:dyDescent="0.25">
      <c r="A1013" t="str" cm="1">
        <f t="array" aca="1" ref="A1013" ca="1">"aN_PREC_2_" &amp; INDIRECT("F" &amp; ROW(C1013) - 11) &amp; "_p"</f>
        <v>aN_PREC_2_7_5_p</v>
      </c>
      <c r="B1013">
        <v>0</v>
      </c>
      <c r="C1013" t="s">
        <v>5</v>
      </c>
    </row>
    <row r="1014" spans="1:8" x14ac:dyDescent="0.25">
      <c r="A1014" t="str" cm="1">
        <f t="array" aca="1" ref="A1014" ca="1">"aN_PREC_3_" &amp; INDIRECT("F" &amp; ROW(C1014) - 12) &amp; "_p"</f>
        <v>aN_PREC_3_7_5_p</v>
      </c>
      <c r="B1014">
        <v>2</v>
      </c>
      <c r="C1014" t="s">
        <v>6</v>
      </c>
    </row>
    <row r="1015" spans="1:8" x14ac:dyDescent="0.25">
      <c r="A1015" s="5" t="s">
        <v>9</v>
      </c>
      <c r="F1015" s="27"/>
      <c r="G1015" s="27"/>
      <c r="H1015" s="27"/>
    </row>
    <row r="1016" spans="1:8" x14ac:dyDescent="0.25">
      <c r="A1016" t="str" cm="1">
        <f t="array" aca="1" ref="A1016" ca="1">"aN_SL_1_" &amp; INDIRECT("F" &amp; ROW(C1016) - 14) &amp; "_p"</f>
        <v>aN_SL_1_7_5_p</v>
      </c>
      <c r="B1016">
        <v>0</v>
      </c>
      <c r="C1016" t="s">
        <v>4</v>
      </c>
    </row>
    <row r="1017" spans="1:8" x14ac:dyDescent="0.25">
      <c r="A1017" t="str" cm="1">
        <f t="array" aca="1" ref="A1017" ca="1">"aN_SL_2_" &amp; INDIRECT("F" &amp; ROW(C1017) - 15) &amp; "_p"</f>
        <v>aN_SL_2_7_5_p</v>
      </c>
      <c r="B1017">
        <v>0</v>
      </c>
      <c r="C1017" t="s">
        <v>5</v>
      </c>
    </row>
    <row r="1018" spans="1:8" x14ac:dyDescent="0.25">
      <c r="A1018" t="str" cm="1">
        <f t="array" aca="1" ref="A1018" ca="1">"aN_SL_3_" &amp; INDIRECT("F" &amp; ROW(C1018) - 16) &amp; "_p"</f>
        <v>aN_SL_3_7_5_p</v>
      </c>
      <c r="B1018">
        <v>2</v>
      </c>
      <c r="C1018" t="s">
        <v>6</v>
      </c>
    </row>
    <row r="1019" spans="1:8" x14ac:dyDescent="0.25">
      <c r="A1019" s="5" t="s">
        <v>95</v>
      </c>
    </row>
    <row r="1020" spans="1:8" x14ac:dyDescent="0.25">
      <c r="A1020" t="str" cm="1">
        <f t="array" aca="1" ref="A1020" ca="1">"aN_DRO_1_" &amp; INDIRECT("F" &amp; ROW(C1020) - 18) &amp; "_p"</f>
        <v>aN_DRO_1_7_5_p</v>
      </c>
      <c r="B1020">
        <v>0.01</v>
      </c>
      <c r="C1020" t="s">
        <v>4</v>
      </c>
    </row>
    <row r="1021" spans="1:8" x14ac:dyDescent="0.25">
      <c r="A1021" t="str" cm="1">
        <f t="array" aca="1" ref="A1021" ca="1">"aN_DRO_2_" &amp; INDIRECT("F" &amp; ROW(C1021) - 19) &amp; "_p"</f>
        <v>aN_DRO_2_7_5_p</v>
      </c>
      <c r="B1021">
        <v>0</v>
      </c>
      <c r="C1021" t="s">
        <v>5</v>
      </c>
    </row>
    <row r="1022" spans="1:8" x14ac:dyDescent="0.25">
      <c r="A1022" t="str" cm="1">
        <f t="array" aca="1" ref="A1022" ca="1">"aN_DRO_3_" &amp; INDIRECT("F" &amp; ROW(C1022) - 20) &amp; "_p"</f>
        <v>aN_DRO_3_7_5_p</v>
      </c>
      <c r="B1022">
        <v>2</v>
      </c>
      <c r="C1022" t="s">
        <v>6</v>
      </c>
    </row>
    <row r="1023" spans="1:8" x14ac:dyDescent="0.25">
      <c r="A1023" s="5" t="s">
        <v>96</v>
      </c>
    </row>
    <row r="1024" spans="1:8" x14ac:dyDescent="0.25">
      <c r="A1024" t="str" cm="1">
        <f t="array" aca="1" ref="A1024" ca="1">"aN_CYC_1_" &amp; INDIRECT("F" &amp; ROW(C1024) - 22) &amp; "_p"</f>
        <v>aN_CYC_1_7_5_p</v>
      </c>
      <c r="B1024">
        <v>0</v>
      </c>
      <c r="C1024" t="s">
        <v>4</v>
      </c>
    </row>
    <row r="1025" spans="1:8" x14ac:dyDescent="0.25">
      <c r="A1025" t="str" cm="1">
        <f t="array" aca="1" ref="A1025" ca="1">"aN_CYC_2_" &amp; INDIRECT("F" &amp; ROW(C1025) - 23) &amp; "_p"</f>
        <v>aN_CYC_2_7_5_p</v>
      </c>
      <c r="B1025">
        <v>0</v>
      </c>
      <c r="C1025" t="s">
        <v>5</v>
      </c>
    </row>
    <row r="1026" spans="1:8" x14ac:dyDescent="0.25">
      <c r="A1026" t="str" cm="1">
        <f t="array" aca="1" ref="A1026" ca="1">"aN_CYC_3_" &amp; INDIRECT("F" &amp; ROW(C1026) - 24) &amp; "_p"</f>
        <v>aN_CYC_3_7_5_p</v>
      </c>
      <c r="B1026">
        <v>2</v>
      </c>
      <c r="C1026" t="s">
        <v>6</v>
      </c>
    </row>
    <row r="1027" spans="1:8" x14ac:dyDescent="0.25">
      <c r="A1027" s="26" t="str">
        <f>"sector " &amp; D1027 &amp; " and region " &amp;E1027</f>
        <v>sector 7 and region 6</v>
      </c>
      <c r="B1027" s="26"/>
      <c r="C1027" s="26"/>
      <c r="D1027" s="24">
        <v>7</v>
      </c>
      <c r="E1027" s="24">
        <v>6</v>
      </c>
      <c r="F1027" s="24" t="str">
        <f>D1027 &amp; "_" &amp; E1027</f>
        <v>7_6</v>
      </c>
    </row>
    <row r="1028" spans="1:8" x14ac:dyDescent="0.25">
      <c r="A1028" s="5" t="s">
        <v>3</v>
      </c>
    </row>
    <row r="1029" spans="1:8" x14ac:dyDescent="0.25">
      <c r="A1029" t="str" cm="1">
        <f t="array" aca="1" ref="A1029" ca="1">"aN_T_1_" &amp; INDIRECT("F" &amp; ROW(C1029)-2) &amp; "_p"</f>
        <v>aN_T_1_7_6_p</v>
      </c>
      <c r="B1029">
        <v>0</v>
      </c>
      <c r="C1029" t="s">
        <v>4</v>
      </c>
    </row>
    <row r="1030" spans="1:8" x14ac:dyDescent="0.25">
      <c r="A1030" t="str" cm="1">
        <f t="array" aca="1" ref="A1030" ca="1">"aN_T_2_" &amp; INDIRECT("F" &amp; ROW(C1030)-3) &amp; "_p"</f>
        <v>aN_T_2_7_6_p</v>
      </c>
      <c r="B1030">
        <v>0</v>
      </c>
      <c r="C1030" t="s">
        <v>5</v>
      </c>
    </row>
    <row r="1031" spans="1:8" x14ac:dyDescent="0.25">
      <c r="A1031" t="str" cm="1">
        <f t="array" aca="1" ref="A1031" ca="1">"aN_T_3_" &amp; INDIRECT("F" &amp; ROW(C1031)-4) &amp; "_p"</f>
        <v>aN_T_3_7_6_p</v>
      </c>
      <c r="B1031">
        <v>2</v>
      </c>
      <c r="C1031" t="s">
        <v>6</v>
      </c>
    </row>
    <row r="1032" spans="1:8" x14ac:dyDescent="0.25">
      <c r="A1032" s="5" t="s">
        <v>8</v>
      </c>
    </row>
    <row r="1033" spans="1:8" x14ac:dyDescent="0.25">
      <c r="A1033" t="str" cm="1">
        <f t="array" aca="1" ref="A1033" ca="1">"aN_WS_1_" &amp; INDIRECT("F" &amp; ROW(C1033)-6) &amp; "_p"</f>
        <v>aN_WS_1_7_6_p</v>
      </c>
      <c r="B1033">
        <v>0</v>
      </c>
      <c r="C1033" t="s">
        <v>4</v>
      </c>
    </row>
    <row r="1034" spans="1:8" x14ac:dyDescent="0.25">
      <c r="A1034" t="str" cm="1">
        <f t="array" aca="1" ref="A1034" ca="1">"aN_WS_2_" &amp; INDIRECT("F" &amp; ROW(C1034)-7) &amp; "_p"</f>
        <v>aN_WS_2_7_6_p</v>
      </c>
      <c r="B1034">
        <v>0</v>
      </c>
      <c r="C1034" t="s">
        <v>5</v>
      </c>
    </row>
    <row r="1035" spans="1:8" x14ac:dyDescent="0.25">
      <c r="A1035" t="str" cm="1">
        <f t="array" aca="1" ref="A1035" ca="1">"aN_WS_3_" &amp; INDIRECT("F" &amp; ROW(C1035)-8) &amp; "_p"</f>
        <v>aN_WS_3_7_6_p</v>
      </c>
      <c r="B1035">
        <v>2</v>
      </c>
      <c r="C1035" t="s">
        <v>6</v>
      </c>
    </row>
    <row r="1036" spans="1:8" x14ac:dyDescent="0.25">
      <c r="A1036" s="5" t="s">
        <v>7</v>
      </c>
      <c r="F1036" s="27"/>
      <c r="G1036" s="27"/>
      <c r="H1036" s="27"/>
    </row>
    <row r="1037" spans="1:8" x14ac:dyDescent="0.25">
      <c r="A1037" t="str" cm="1">
        <f t="array" aca="1" ref="A1037" ca="1">"aN_PREC_1_" &amp; INDIRECT("F" &amp; ROW(C1037) - 10) &amp; "_p"</f>
        <v>aN_PREC_1_7_6_p</v>
      </c>
      <c r="B1037">
        <v>0</v>
      </c>
      <c r="C1037" t="s">
        <v>4</v>
      </c>
    </row>
    <row r="1038" spans="1:8" x14ac:dyDescent="0.25">
      <c r="A1038" t="str" cm="1">
        <f t="array" aca="1" ref="A1038" ca="1">"aN_PREC_2_" &amp; INDIRECT("F" &amp; ROW(C1038) - 11) &amp; "_p"</f>
        <v>aN_PREC_2_7_6_p</v>
      </c>
      <c r="B1038">
        <v>0</v>
      </c>
      <c r="C1038" t="s">
        <v>5</v>
      </c>
    </row>
    <row r="1039" spans="1:8" x14ac:dyDescent="0.25">
      <c r="A1039" t="str" cm="1">
        <f t="array" aca="1" ref="A1039" ca="1">"aN_PREC_3_" &amp; INDIRECT("F" &amp; ROW(C1039) - 12) &amp; "_p"</f>
        <v>aN_PREC_3_7_6_p</v>
      </c>
      <c r="B1039">
        <v>2</v>
      </c>
      <c r="C1039" t="s">
        <v>6</v>
      </c>
    </row>
    <row r="1040" spans="1:8" x14ac:dyDescent="0.25">
      <c r="A1040" s="5" t="s">
        <v>9</v>
      </c>
      <c r="F1040" s="27"/>
      <c r="G1040" s="27"/>
      <c r="H1040" s="27"/>
    </row>
    <row r="1041" spans="1:6" x14ac:dyDescent="0.25">
      <c r="A1041" t="str" cm="1">
        <f t="array" aca="1" ref="A1041" ca="1">"aN_SL_1_" &amp; INDIRECT("F" &amp; ROW(C1041) - 14) &amp; "_p"</f>
        <v>aN_SL_1_7_6_p</v>
      </c>
      <c r="B1041">
        <v>0</v>
      </c>
      <c r="C1041" t="s">
        <v>4</v>
      </c>
    </row>
    <row r="1042" spans="1:6" x14ac:dyDescent="0.25">
      <c r="A1042" t="str" cm="1">
        <f t="array" aca="1" ref="A1042" ca="1">"aN_SL_2_" &amp; INDIRECT("F" &amp; ROW(C1042) - 15) &amp; "_p"</f>
        <v>aN_SL_2_7_6_p</v>
      </c>
      <c r="B1042">
        <v>0</v>
      </c>
      <c r="C1042" t="s">
        <v>5</v>
      </c>
    </row>
    <row r="1043" spans="1:6" x14ac:dyDescent="0.25">
      <c r="A1043" t="str" cm="1">
        <f t="array" aca="1" ref="A1043" ca="1">"aN_SL_3_" &amp; INDIRECT("F" &amp; ROW(C1043) - 16) &amp; "_p"</f>
        <v>aN_SL_3_7_6_p</v>
      </c>
      <c r="B1043">
        <v>2</v>
      </c>
      <c r="C1043" t="s">
        <v>6</v>
      </c>
    </row>
    <row r="1044" spans="1:6" x14ac:dyDescent="0.25">
      <c r="A1044" s="5" t="s">
        <v>95</v>
      </c>
    </row>
    <row r="1045" spans="1:6" x14ac:dyDescent="0.25">
      <c r="A1045" t="str" cm="1">
        <f t="array" aca="1" ref="A1045" ca="1">"aN_DRO_1_" &amp; INDIRECT("F" &amp; ROW(C1045) - 18) &amp; "_p"</f>
        <v>aN_DRO_1_7_6_p</v>
      </c>
      <c r="B1045">
        <v>0.01</v>
      </c>
      <c r="C1045" t="s">
        <v>4</v>
      </c>
    </row>
    <row r="1046" spans="1:6" x14ac:dyDescent="0.25">
      <c r="A1046" t="str" cm="1">
        <f t="array" aca="1" ref="A1046" ca="1">"aN_DRO_2_" &amp; INDIRECT("F" &amp; ROW(C1046) - 19) &amp; "_p"</f>
        <v>aN_DRO_2_7_6_p</v>
      </c>
      <c r="B1046">
        <v>0</v>
      </c>
      <c r="C1046" t="s">
        <v>5</v>
      </c>
    </row>
    <row r="1047" spans="1:6" x14ac:dyDescent="0.25">
      <c r="A1047" t="str" cm="1">
        <f t="array" aca="1" ref="A1047" ca="1">"aN_DRO_3_" &amp; INDIRECT("F" &amp; ROW(C1047) - 20) &amp; "_p"</f>
        <v>aN_DRO_3_7_6_p</v>
      </c>
      <c r="B1047">
        <v>2</v>
      </c>
      <c r="C1047" t="s">
        <v>6</v>
      </c>
    </row>
    <row r="1048" spans="1:6" x14ac:dyDescent="0.25">
      <c r="A1048" s="5" t="s">
        <v>96</v>
      </c>
    </row>
    <row r="1049" spans="1:6" x14ac:dyDescent="0.25">
      <c r="A1049" t="str" cm="1">
        <f t="array" aca="1" ref="A1049" ca="1">"aN_CYC_1_" &amp; INDIRECT("F" &amp; ROW(C1049) - 22) &amp; "_p"</f>
        <v>aN_CYC_1_7_6_p</v>
      </c>
      <c r="B1049">
        <v>0</v>
      </c>
      <c r="C1049" t="s">
        <v>4</v>
      </c>
    </row>
    <row r="1050" spans="1:6" x14ac:dyDescent="0.25">
      <c r="A1050" t="str" cm="1">
        <f t="array" aca="1" ref="A1050" ca="1">"aN_CYC_2_" &amp; INDIRECT("F" &amp; ROW(C1050) - 23) &amp; "_p"</f>
        <v>aN_CYC_2_7_6_p</v>
      </c>
      <c r="B1050">
        <v>0</v>
      </c>
      <c r="C1050" t="s">
        <v>5</v>
      </c>
    </row>
    <row r="1051" spans="1:6" x14ac:dyDescent="0.25">
      <c r="A1051" t="str" cm="1">
        <f t="array" aca="1" ref="A1051" ca="1">"aN_CYC_3_" &amp; INDIRECT("F" &amp; ROW(C1051) - 24) &amp; "_p"</f>
        <v>aN_CYC_3_7_6_p</v>
      </c>
      <c r="B1051">
        <v>2</v>
      </c>
      <c r="C1051" t="s">
        <v>6</v>
      </c>
    </row>
    <row r="1052" spans="1:6" x14ac:dyDescent="0.25">
      <c r="A1052" s="26" t="str">
        <f>"sector " &amp; D1052 &amp; " and region " &amp;E1052</f>
        <v>sector 8 and region 1</v>
      </c>
      <c r="B1052" s="26"/>
      <c r="C1052" s="26"/>
      <c r="D1052" s="24">
        <v>8</v>
      </c>
      <c r="E1052" s="24">
        <v>1</v>
      </c>
      <c r="F1052" s="24" t="str">
        <f>D1052 &amp; "_" &amp; E1052</f>
        <v>8_1</v>
      </c>
    </row>
    <row r="1053" spans="1:6" x14ac:dyDescent="0.25">
      <c r="A1053" s="5" t="s">
        <v>3</v>
      </c>
    </row>
    <row r="1054" spans="1:6" x14ac:dyDescent="0.25">
      <c r="A1054" t="str" cm="1">
        <f t="array" aca="1" ref="A1054" ca="1">"aN_T_1_" &amp; INDIRECT("F" &amp; ROW(C1054)-2) &amp; "_p"</f>
        <v>aN_T_1_8_1_p</v>
      </c>
      <c r="B1054">
        <v>0</v>
      </c>
      <c r="C1054" t="s">
        <v>4</v>
      </c>
    </row>
    <row r="1055" spans="1:6" x14ac:dyDescent="0.25">
      <c r="A1055" t="str" cm="1">
        <f t="array" aca="1" ref="A1055" ca="1">"aN_T_2_" &amp; INDIRECT("F" &amp; ROW(C1055)-3) &amp; "_p"</f>
        <v>aN_T_2_8_1_p</v>
      </c>
      <c r="B1055">
        <v>0</v>
      </c>
      <c r="C1055" t="s">
        <v>5</v>
      </c>
    </row>
    <row r="1056" spans="1:6" x14ac:dyDescent="0.25">
      <c r="A1056" t="str" cm="1">
        <f t="array" aca="1" ref="A1056" ca="1">"aN_T_3_" &amp; INDIRECT("F" &amp; ROW(C1056)-4) &amp; "_p"</f>
        <v>aN_T_3_8_1_p</v>
      </c>
      <c r="B1056">
        <v>2</v>
      </c>
      <c r="C1056" t="s">
        <v>6</v>
      </c>
    </row>
    <row r="1057" spans="1:8" x14ac:dyDescent="0.25">
      <c r="A1057" s="5" t="s">
        <v>8</v>
      </c>
    </row>
    <row r="1058" spans="1:8" x14ac:dyDescent="0.25">
      <c r="A1058" t="str" cm="1">
        <f t="array" aca="1" ref="A1058" ca="1">"aN_WS_1_" &amp; INDIRECT("F" &amp; ROW(C1058)-6) &amp; "_p"</f>
        <v>aN_WS_1_8_1_p</v>
      </c>
      <c r="B1058">
        <v>0</v>
      </c>
      <c r="C1058" t="s">
        <v>4</v>
      </c>
    </row>
    <row r="1059" spans="1:8" x14ac:dyDescent="0.25">
      <c r="A1059" t="str" cm="1">
        <f t="array" aca="1" ref="A1059" ca="1">"aN_WS_2_" &amp; INDIRECT("F" &amp; ROW(C1059)-7) &amp; "_p"</f>
        <v>aN_WS_2_8_1_p</v>
      </c>
      <c r="B1059">
        <v>0</v>
      </c>
      <c r="C1059" t="s">
        <v>5</v>
      </c>
    </row>
    <row r="1060" spans="1:8" x14ac:dyDescent="0.25">
      <c r="A1060" t="str" cm="1">
        <f t="array" aca="1" ref="A1060" ca="1">"aN_WS_3_" &amp; INDIRECT("F" &amp; ROW(C1060)-8) &amp; "_p"</f>
        <v>aN_WS_3_8_1_p</v>
      </c>
      <c r="B1060">
        <v>2</v>
      </c>
      <c r="C1060" t="s">
        <v>6</v>
      </c>
    </row>
    <row r="1061" spans="1:8" x14ac:dyDescent="0.25">
      <c r="A1061" s="5" t="s">
        <v>7</v>
      </c>
      <c r="F1061" s="27"/>
      <c r="G1061" s="27"/>
      <c r="H1061" s="27"/>
    </row>
    <row r="1062" spans="1:8" x14ac:dyDescent="0.25">
      <c r="A1062" t="str" cm="1">
        <f t="array" aca="1" ref="A1062" ca="1">"aN_PREC_1_" &amp; INDIRECT("F" &amp; ROW(C1062) - 10) &amp; "_p"</f>
        <v>aN_PREC_1_8_1_p</v>
      </c>
      <c r="B1062">
        <v>0</v>
      </c>
      <c r="C1062" t="s">
        <v>4</v>
      </c>
    </row>
    <row r="1063" spans="1:8" x14ac:dyDescent="0.25">
      <c r="A1063" t="str" cm="1">
        <f t="array" aca="1" ref="A1063" ca="1">"aN_PREC_2_" &amp; INDIRECT("F" &amp; ROW(C1063) - 11) &amp; "_p"</f>
        <v>aN_PREC_2_8_1_p</v>
      </c>
      <c r="B1063">
        <v>0</v>
      </c>
      <c r="C1063" t="s">
        <v>5</v>
      </c>
    </row>
    <row r="1064" spans="1:8" x14ac:dyDescent="0.25">
      <c r="A1064" t="str" cm="1">
        <f t="array" aca="1" ref="A1064" ca="1">"aN_PREC_3_" &amp; INDIRECT("F" &amp; ROW(C1064) - 12) &amp; "_p"</f>
        <v>aN_PREC_3_8_1_p</v>
      </c>
      <c r="B1064">
        <v>2</v>
      </c>
      <c r="C1064" t="s">
        <v>6</v>
      </c>
    </row>
    <row r="1065" spans="1:8" x14ac:dyDescent="0.25">
      <c r="A1065" s="5" t="s">
        <v>9</v>
      </c>
      <c r="F1065" s="27"/>
      <c r="G1065" s="27"/>
      <c r="H1065" s="27"/>
    </row>
    <row r="1066" spans="1:8" x14ac:dyDescent="0.25">
      <c r="A1066" t="str" cm="1">
        <f t="array" aca="1" ref="A1066" ca="1">"aN_SL_1_" &amp; INDIRECT("F" &amp; ROW(C1066) - 14) &amp; "_p"</f>
        <v>aN_SL_1_8_1_p</v>
      </c>
      <c r="B1066">
        <v>0</v>
      </c>
      <c r="C1066" t="s">
        <v>4</v>
      </c>
    </row>
    <row r="1067" spans="1:8" x14ac:dyDescent="0.25">
      <c r="A1067" t="str" cm="1">
        <f t="array" aca="1" ref="A1067" ca="1">"aN_SL_2_" &amp; INDIRECT("F" &amp; ROW(C1067) - 15) &amp; "_p"</f>
        <v>aN_SL_2_8_1_p</v>
      </c>
      <c r="B1067">
        <v>0</v>
      </c>
      <c r="C1067" t="s">
        <v>5</v>
      </c>
    </row>
    <row r="1068" spans="1:8" x14ac:dyDescent="0.25">
      <c r="A1068" t="str" cm="1">
        <f t="array" aca="1" ref="A1068" ca="1">"aN_SL_3_" &amp; INDIRECT("F" &amp; ROW(C1068) - 16) &amp; "_p"</f>
        <v>aN_SL_3_8_1_p</v>
      </c>
      <c r="B1068">
        <v>2</v>
      </c>
      <c r="C1068" t="s">
        <v>6</v>
      </c>
    </row>
    <row r="1069" spans="1:8" x14ac:dyDescent="0.25">
      <c r="A1069" s="5" t="s">
        <v>95</v>
      </c>
    </row>
    <row r="1070" spans="1:8" x14ac:dyDescent="0.25">
      <c r="A1070" t="str" cm="1">
        <f t="array" aca="1" ref="A1070" ca="1">"aN_DRO_1_" &amp; INDIRECT("F" &amp; ROW(C1070) - 18) &amp; "_p"</f>
        <v>aN_DRO_1_8_1_p</v>
      </c>
      <c r="B1070">
        <v>0.01</v>
      </c>
      <c r="C1070" t="s">
        <v>4</v>
      </c>
    </row>
    <row r="1071" spans="1:8" x14ac:dyDescent="0.25">
      <c r="A1071" t="str" cm="1">
        <f t="array" aca="1" ref="A1071" ca="1">"aN_DRO_2_" &amp; INDIRECT("F" &amp; ROW(C1071) - 19) &amp; "_p"</f>
        <v>aN_DRO_2_8_1_p</v>
      </c>
      <c r="B1071">
        <v>0</v>
      </c>
      <c r="C1071" t="s">
        <v>5</v>
      </c>
    </row>
    <row r="1072" spans="1:8" x14ac:dyDescent="0.25">
      <c r="A1072" t="str" cm="1">
        <f t="array" aca="1" ref="A1072" ca="1">"aN_DRO_3_" &amp; INDIRECT("F" &amp; ROW(C1072) - 20) &amp; "_p"</f>
        <v>aN_DRO_3_8_1_p</v>
      </c>
      <c r="B1072">
        <v>2</v>
      </c>
      <c r="C1072" t="s">
        <v>6</v>
      </c>
    </row>
    <row r="1073" spans="1:8" x14ac:dyDescent="0.25">
      <c r="A1073" s="5" t="s">
        <v>96</v>
      </c>
    </row>
    <row r="1074" spans="1:8" x14ac:dyDescent="0.25">
      <c r="A1074" t="str" cm="1">
        <f t="array" aca="1" ref="A1074" ca="1">"aN_CYC_1_" &amp; INDIRECT("F" &amp; ROW(C1074) - 22) &amp; "_p"</f>
        <v>aN_CYC_1_8_1_p</v>
      </c>
      <c r="B1074">
        <v>0</v>
      </c>
      <c r="C1074" t="s">
        <v>4</v>
      </c>
    </row>
    <row r="1075" spans="1:8" x14ac:dyDescent="0.25">
      <c r="A1075" t="str" cm="1">
        <f t="array" aca="1" ref="A1075" ca="1">"aN_CYC_2_" &amp; INDIRECT("F" &amp; ROW(C1075) - 23) &amp; "_p"</f>
        <v>aN_CYC_2_8_1_p</v>
      </c>
      <c r="B1075">
        <v>0</v>
      </c>
      <c r="C1075" t="s">
        <v>5</v>
      </c>
    </row>
    <row r="1076" spans="1:8" x14ac:dyDescent="0.25">
      <c r="A1076" t="str" cm="1">
        <f t="array" aca="1" ref="A1076" ca="1">"aN_CYC_3_" &amp; INDIRECT("F" &amp; ROW(C1076) - 24) &amp; "_p"</f>
        <v>aN_CYC_3_8_1_p</v>
      </c>
      <c r="B1076">
        <v>2</v>
      </c>
      <c r="C1076" t="s">
        <v>6</v>
      </c>
    </row>
    <row r="1077" spans="1:8" x14ac:dyDescent="0.25">
      <c r="A1077" s="26" t="str">
        <f>"sector " &amp; D1077 &amp; " and region " &amp;E1077</f>
        <v>sector 8 and region 2</v>
      </c>
      <c r="B1077" s="26"/>
      <c r="C1077" s="26"/>
      <c r="D1077" s="24">
        <v>8</v>
      </c>
      <c r="E1077" s="24">
        <v>2</v>
      </c>
      <c r="F1077" s="24" t="str">
        <f>D1077 &amp; "_" &amp; E1077</f>
        <v>8_2</v>
      </c>
    </row>
    <row r="1078" spans="1:8" x14ac:dyDescent="0.25">
      <c r="A1078" s="5" t="s">
        <v>3</v>
      </c>
    </row>
    <row r="1079" spans="1:8" x14ac:dyDescent="0.25">
      <c r="A1079" t="str" cm="1">
        <f t="array" aca="1" ref="A1079" ca="1">"aN_T_1_" &amp; INDIRECT("F" &amp; ROW(C1079)-2) &amp; "_p"</f>
        <v>aN_T_1_8_2_p</v>
      </c>
      <c r="B1079">
        <v>0</v>
      </c>
      <c r="C1079" t="s">
        <v>4</v>
      </c>
    </row>
    <row r="1080" spans="1:8" x14ac:dyDescent="0.25">
      <c r="A1080" t="str" cm="1">
        <f t="array" aca="1" ref="A1080" ca="1">"aN_T_2_" &amp; INDIRECT("F" &amp; ROW(C1080)-3) &amp; "_p"</f>
        <v>aN_T_2_8_2_p</v>
      </c>
      <c r="B1080">
        <v>0</v>
      </c>
      <c r="C1080" t="s">
        <v>5</v>
      </c>
    </row>
    <row r="1081" spans="1:8" x14ac:dyDescent="0.25">
      <c r="A1081" t="str" cm="1">
        <f t="array" aca="1" ref="A1081" ca="1">"aN_T_3_" &amp; INDIRECT("F" &amp; ROW(C1081)-4) &amp; "_p"</f>
        <v>aN_T_3_8_2_p</v>
      </c>
      <c r="B1081">
        <v>2</v>
      </c>
      <c r="C1081" t="s">
        <v>6</v>
      </c>
    </row>
    <row r="1082" spans="1:8" x14ac:dyDescent="0.25">
      <c r="A1082" s="5" t="s">
        <v>8</v>
      </c>
    </row>
    <row r="1083" spans="1:8" x14ac:dyDescent="0.25">
      <c r="A1083" t="str" cm="1">
        <f t="array" aca="1" ref="A1083" ca="1">"aN_WS_1_" &amp; INDIRECT("F" &amp; ROW(C1083)-6) &amp; "_p"</f>
        <v>aN_WS_1_8_2_p</v>
      </c>
      <c r="B1083">
        <v>0</v>
      </c>
      <c r="C1083" t="s">
        <v>4</v>
      </c>
    </row>
    <row r="1084" spans="1:8" x14ac:dyDescent="0.25">
      <c r="A1084" t="str" cm="1">
        <f t="array" aca="1" ref="A1084" ca="1">"aN_WS_2_" &amp; INDIRECT("F" &amp; ROW(C1084)-7) &amp; "_p"</f>
        <v>aN_WS_2_8_2_p</v>
      </c>
      <c r="B1084">
        <v>0</v>
      </c>
      <c r="C1084" t="s">
        <v>5</v>
      </c>
    </row>
    <row r="1085" spans="1:8" x14ac:dyDescent="0.25">
      <c r="A1085" t="str" cm="1">
        <f t="array" aca="1" ref="A1085" ca="1">"aN_WS_3_" &amp; INDIRECT("F" &amp; ROW(C1085)-8) &amp; "_p"</f>
        <v>aN_WS_3_8_2_p</v>
      </c>
      <c r="B1085">
        <v>2</v>
      </c>
      <c r="C1085" t="s">
        <v>6</v>
      </c>
    </row>
    <row r="1086" spans="1:8" x14ac:dyDescent="0.25">
      <c r="A1086" s="5" t="s">
        <v>7</v>
      </c>
      <c r="F1086" s="27"/>
      <c r="G1086" s="27"/>
      <c r="H1086" s="27"/>
    </row>
    <row r="1087" spans="1:8" x14ac:dyDescent="0.25">
      <c r="A1087" t="str" cm="1">
        <f t="array" aca="1" ref="A1087" ca="1">"aN_PREC_1_" &amp; INDIRECT("F" &amp; ROW(C1087) - 10) &amp; "_p"</f>
        <v>aN_PREC_1_8_2_p</v>
      </c>
      <c r="B1087">
        <v>0</v>
      </c>
      <c r="C1087" t="s">
        <v>4</v>
      </c>
    </row>
    <row r="1088" spans="1:8" x14ac:dyDescent="0.25">
      <c r="A1088" t="str" cm="1">
        <f t="array" aca="1" ref="A1088" ca="1">"aN_PREC_2_" &amp; INDIRECT("F" &amp; ROW(C1088) - 11) &amp; "_p"</f>
        <v>aN_PREC_2_8_2_p</v>
      </c>
      <c r="B1088">
        <v>0</v>
      </c>
      <c r="C1088" t="s">
        <v>5</v>
      </c>
    </row>
    <row r="1089" spans="1:8" x14ac:dyDescent="0.25">
      <c r="A1089" t="str" cm="1">
        <f t="array" aca="1" ref="A1089" ca="1">"aN_PREC_3_" &amp; INDIRECT("F" &amp; ROW(C1089) - 12) &amp; "_p"</f>
        <v>aN_PREC_3_8_2_p</v>
      </c>
      <c r="B1089">
        <v>2</v>
      </c>
      <c r="C1089" t="s">
        <v>6</v>
      </c>
    </row>
    <row r="1090" spans="1:8" x14ac:dyDescent="0.25">
      <c r="A1090" s="5" t="s">
        <v>9</v>
      </c>
      <c r="F1090" s="27"/>
      <c r="G1090" s="27"/>
      <c r="H1090" s="27"/>
    </row>
    <row r="1091" spans="1:8" x14ac:dyDescent="0.25">
      <c r="A1091" t="str" cm="1">
        <f t="array" aca="1" ref="A1091" ca="1">"aN_SL_1_" &amp; INDIRECT("F" &amp; ROW(C1091) - 14) &amp; "_p"</f>
        <v>aN_SL_1_8_2_p</v>
      </c>
      <c r="B1091">
        <v>0</v>
      </c>
      <c r="C1091" t="s">
        <v>4</v>
      </c>
    </row>
    <row r="1092" spans="1:8" x14ac:dyDescent="0.25">
      <c r="A1092" t="str" cm="1">
        <f t="array" aca="1" ref="A1092" ca="1">"aN_SL_2_" &amp; INDIRECT("F" &amp; ROW(C1092) - 15) &amp; "_p"</f>
        <v>aN_SL_2_8_2_p</v>
      </c>
      <c r="B1092">
        <v>0</v>
      </c>
      <c r="C1092" t="s">
        <v>5</v>
      </c>
    </row>
    <row r="1093" spans="1:8" x14ac:dyDescent="0.25">
      <c r="A1093" t="str" cm="1">
        <f t="array" aca="1" ref="A1093" ca="1">"aN_SL_3_" &amp; INDIRECT("F" &amp; ROW(C1093) - 16) &amp; "_p"</f>
        <v>aN_SL_3_8_2_p</v>
      </c>
      <c r="B1093">
        <v>2</v>
      </c>
      <c r="C1093" t="s">
        <v>6</v>
      </c>
    </row>
    <row r="1094" spans="1:8" x14ac:dyDescent="0.25">
      <c r="A1094" s="5" t="s">
        <v>95</v>
      </c>
    </row>
    <row r="1095" spans="1:8" x14ac:dyDescent="0.25">
      <c r="A1095" t="str" cm="1">
        <f t="array" aca="1" ref="A1095" ca="1">"aN_DRO_1_" &amp; INDIRECT("F" &amp; ROW(C1095) - 18) &amp; "_p"</f>
        <v>aN_DRO_1_8_2_p</v>
      </c>
      <c r="B1095">
        <v>0.01</v>
      </c>
      <c r="C1095" t="s">
        <v>4</v>
      </c>
    </row>
    <row r="1096" spans="1:8" x14ac:dyDescent="0.25">
      <c r="A1096" t="str" cm="1">
        <f t="array" aca="1" ref="A1096" ca="1">"aN_DRO_2_" &amp; INDIRECT("F" &amp; ROW(C1096) - 19) &amp; "_p"</f>
        <v>aN_DRO_2_8_2_p</v>
      </c>
      <c r="B1096">
        <v>0</v>
      </c>
      <c r="C1096" t="s">
        <v>5</v>
      </c>
    </row>
    <row r="1097" spans="1:8" x14ac:dyDescent="0.25">
      <c r="A1097" t="str" cm="1">
        <f t="array" aca="1" ref="A1097" ca="1">"aN_DRO_3_" &amp; INDIRECT("F" &amp; ROW(C1097) - 20) &amp; "_p"</f>
        <v>aN_DRO_3_8_2_p</v>
      </c>
      <c r="B1097">
        <v>2</v>
      </c>
      <c r="C1097" t="s">
        <v>6</v>
      </c>
    </row>
    <row r="1098" spans="1:8" x14ac:dyDescent="0.25">
      <c r="A1098" s="5" t="s">
        <v>96</v>
      </c>
    </row>
    <row r="1099" spans="1:8" x14ac:dyDescent="0.25">
      <c r="A1099" t="str" cm="1">
        <f t="array" aca="1" ref="A1099" ca="1">"aN_CYC_1_" &amp; INDIRECT("F" &amp; ROW(C1099) - 22) &amp; "_p"</f>
        <v>aN_CYC_1_8_2_p</v>
      </c>
      <c r="B1099">
        <v>0</v>
      </c>
      <c r="C1099" t="s">
        <v>4</v>
      </c>
    </row>
    <row r="1100" spans="1:8" x14ac:dyDescent="0.25">
      <c r="A1100" t="str" cm="1">
        <f t="array" aca="1" ref="A1100" ca="1">"aN_CYC_2_" &amp; INDIRECT("F" &amp; ROW(C1100) - 23) &amp; "_p"</f>
        <v>aN_CYC_2_8_2_p</v>
      </c>
      <c r="B1100">
        <v>0</v>
      </c>
      <c r="C1100" t="s">
        <v>5</v>
      </c>
    </row>
    <row r="1101" spans="1:8" x14ac:dyDescent="0.25">
      <c r="A1101" t="str" cm="1">
        <f t="array" aca="1" ref="A1101" ca="1">"aN_CYC_3_" &amp; INDIRECT("F" &amp; ROW(C1101) - 24) &amp; "_p"</f>
        <v>aN_CYC_3_8_2_p</v>
      </c>
      <c r="B1101">
        <v>2</v>
      </c>
      <c r="C1101" t="s">
        <v>6</v>
      </c>
    </row>
    <row r="1102" spans="1:8" x14ac:dyDescent="0.25">
      <c r="A1102" s="26" t="str">
        <f>"sector " &amp; D1102 &amp; " and region " &amp;E1102</f>
        <v>sector 8 and region 3</v>
      </c>
      <c r="B1102" s="26"/>
      <c r="C1102" s="26"/>
      <c r="D1102" s="24">
        <v>8</v>
      </c>
      <c r="E1102" s="24">
        <v>3</v>
      </c>
      <c r="F1102" s="24" t="str">
        <f>D1102 &amp; "_" &amp; E1102</f>
        <v>8_3</v>
      </c>
    </row>
    <row r="1103" spans="1:8" x14ac:dyDescent="0.25">
      <c r="A1103" s="5" t="s">
        <v>3</v>
      </c>
    </row>
    <row r="1104" spans="1:8" x14ac:dyDescent="0.25">
      <c r="A1104" t="str" cm="1">
        <f t="array" aca="1" ref="A1104" ca="1">"aN_T_1_" &amp; INDIRECT("F" &amp; ROW(C1104)-2) &amp; "_p"</f>
        <v>aN_T_1_8_3_p</v>
      </c>
      <c r="B1104">
        <v>0</v>
      </c>
      <c r="C1104" t="s">
        <v>4</v>
      </c>
    </row>
    <row r="1105" spans="1:8" x14ac:dyDescent="0.25">
      <c r="A1105" t="str" cm="1">
        <f t="array" aca="1" ref="A1105" ca="1">"aN_T_2_" &amp; INDIRECT("F" &amp; ROW(C1105)-3) &amp; "_p"</f>
        <v>aN_T_2_8_3_p</v>
      </c>
      <c r="B1105">
        <v>0</v>
      </c>
      <c r="C1105" t="s">
        <v>5</v>
      </c>
    </row>
    <row r="1106" spans="1:8" x14ac:dyDescent="0.25">
      <c r="A1106" t="str" cm="1">
        <f t="array" aca="1" ref="A1106" ca="1">"aN_T_3_" &amp; INDIRECT("F" &amp; ROW(C1106)-4) &amp; "_p"</f>
        <v>aN_T_3_8_3_p</v>
      </c>
      <c r="B1106">
        <v>2</v>
      </c>
      <c r="C1106" t="s">
        <v>6</v>
      </c>
    </row>
    <row r="1107" spans="1:8" x14ac:dyDescent="0.25">
      <c r="A1107" s="5" t="s">
        <v>8</v>
      </c>
    </row>
    <row r="1108" spans="1:8" x14ac:dyDescent="0.25">
      <c r="A1108" t="str" cm="1">
        <f t="array" aca="1" ref="A1108" ca="1">"aN_WS_1_" &amp; INDIRECT("F" &amp; ROW(C1108)-6) &amp; "_p"</f>
        <v>aN_WS_1_8_3_p</v>
      </c>
      <c r="B1108">
        <v>0</v>
      </c>
      <c r="C1108" t="s">
        <v>4</v>
      </c>
    </row>
    <row r="1109" spans="1:8" x14ac:dyDescent="0.25">
      <c r="A1109" t="str" cm="1">
        <f t="array" aca="1" ref="A1109" ca="1">"aN_WS_2_" &amp; INDIRECT("F" &amp; ROW(C1109)-7) &amp; "_p"</f>
        <v>aN_WS_2_8_3_p</v>
      </c>
      <c r="B1109">
        <v>0</v>
      </c>
      <c r="C1109" t="s">
        <v>5</v>
      </c>
    </row>
    <row r="1110" spans="1:8" x14ac:dyDescent="0.25">
      <c r="A1110" t="str" cm="1">
        <f t="array" aca="1" ref="A1110" ca="1">"aN_WS_3_" &amp; INDIRECT("F" &amp; ROW(C1110)-8) &amp; "_p"</f>
        <v>aN_WS_3_8_3_p</v>
      </c>
      <c r="B1110">
        <v>2</v>
      </c>
      <c r="C1110" t="s">
        <v>6</v>
      </c>
    </row>
    <row r="1111" spans="1:8" x14ac:dyDescent="0.25">
      <c r="A1111" s="5" t="s">
        <v>7</v>
      </c>
      <c r="F1111" s="27"/>
      <c r="G1111" s="27"/>
      <c r="H1111" s="27"/>
    </row>
    <row r="1112" spans="1:8" x14ac:dyDescent="0.25">
      <c r="A1112" t="str" cm="1">
        <f t="array" aca="1" ref="A1112" ca="1">"aN_PREC_1_" &amp; INDIRECT("F" &amp; ROW(C1112) - 10) &amp; "_p"</f>
        <v>aN_PREC_1_8_3_p</v>
      </c>
      <c r="B1112">
        <v>0</v>
      </c>
      <c r="C1112" t="s">
        <v>4</v>
      </c>
    </row>
    <row r="1113" spans="1:8" x14ac:dyDescent="0.25">
      <c r="A1113" t="str" cm="1">
        <f t="array" aca="1" ref="A1113" ca="1">"aN_PREC_2_" &amp; INDIRECT("F" &amp; ROW(C1113) - 11) &amp; "_p"</f>
        <v>aN_PREC_2_8_3_p</v>
      </c>
      <c r="B1113">
        <v>0</v>
      </c>
      <c r="C1113" t="s">
        <v>5</v>
      </c>
    </row>
    <row r="1114" spans="1:8" x14ac:dyDescent="0.25">
      <c r="A1114" t="str" cm="1">
        <f t="array" aca="1" ref="A1114" ca="1">"aN_PREC_3_" &amp; INDIRECT("F" &amp; ROW(C1114) - 12) &amp; "_p"</f>
        <v>aN_PREC_3_8_3_p</v>
      </c>
      <c r="B1114">
        <v>2</v>
      </c>
      <c r="C1114" t="s">
        <v>6</v>
      </c>
    </row>
    <row r="1115" spans="1:8" x14ac:dyDescent="0.25">
      <c r="A1115" s="5" t="s">
        <v>9</v>
      </c>
      <c r="F1115" s="27"/>
      <c r="G1115" s="27"/>
      <c r="H1115" s="27"/>
    </row>
    <row r="1116" spans="1:8" x14ac:dyDescent="0.25">
      <c r="A1116" t="str" cm="1">
        <f t="array" aca="1" ref="A1116" ca="1">"aN_SL_1_" &amp; INDIRECT("F" &amp; ROW(C1116) - 14) &amp; "_p"</f>
        <v>aN_SL_1_8_3_p</v>
      </c>
      <c r="B1116">
        <v>0</v>
      </c>
      <c r="C1116" t="s">
        <v>4</v>
      </c>
    </row>
    <row r="1117" spans="1:8" x14ac:dyDescent="0.25">
      <c r="A1117" t="str" cm="1">
        <f t="array" aca="1" ref="A1117" ca="1">"aN_SL_2_" &amp; INDIRECT("F" &amp; ROW(C1117) - 15) &amp; "_p"</f>
        <v>aN_SL_2_8_3_p</v>
      </c>
      <c r="B1117">
        <v>0</v>
      </c>
      <c r="C1117" t="s">
        <v>5</v>
      </c>
    </row>
    <row r="1118" spans="1:8" x14ac:dyDescent="0.25">
      <c r="A1118" t="str" cm="1">
        <f t="array" aca="1" ref="A1118" ca="1">"aN_SL_3_" &amp; INDIRECT("F" &amp; ROW(C1118) - 16) &amp; "_p"</f>
        <v>aN_SL_3_8_3_p</v>
      </c>
      <c r="B1118">
        <v>2</v>
      </c>
      <c r="C1118" t="s">
        <v>6</v>
      </c>
    </row>
    <row r="1119" spans="1:8" x14ac:dyDescent="0.25">
      <c r="A1119" s="5" t="s">
        <v>95</v>
      </c>
    </row>
    <row r="1120" spans="1:8" x14ac:dyDescent="0.25">
      <c r="A1120" t="str" cm="1">
        <f t="array" aca="1" ref="A1120" ca="1">"aN_DRO_1_" &amp; INDIRECT("F" &amp; ROW(C1120) - 18) &amp; "_p"</f>
        <v>aN_DRO_1_8_3_p</v>
      </c>
      <c r="B1120">
        <v>0.01</v>
      </c>
      <c r="C1120" t="s">
        <v>4</v>
      </c>
    </row>
    <row r="1121" spans="1:8" x14ac:dyDescent="0.25">
      <c r="A1121" t="str" cm="1">
        <f t="array" aca="1" ref="A1121" ca="1">"aN_DRO_2_" &amp; INDIRECT("F" &amp; ROW(C1121) - 19) &amp; "_p"</f>
        <v>aN_DRO_2_8_3_p</v>
      </c>
      <c r="B1121">
        <v>0</v>
      </c>
      <c r="C1121" t="s">
        <v>5</v>
      </c>
    </row>
    <row r="1122" spans="1:8" x14ac:dyDescent="0.25">
      <c r="A1122" t="str" cm="1">
        <f t="array" aca="1" ref="A1122" ca="1">"aN_DRO_3_" &amp; INDIRECT("F" &amp; ROW(C1122) - 20) &amp; "_p"</f>
        <v>aN_DRO_3_8_3_p</v>
      </c>
      <c r="B1122">
        <v>2</v>
      </c>
      <c r="C1122" t="s">
        <v>6</v>
      </c>
    </row>
    <row r="1123" spans="1:8" x14ac:dyDescent="0.25">
      <c r="A1123" s="5" t="s">
        <v>96</v>
      </c>
    </row>
    <row r="1124" spans="1:8" x14ac:dyDescent="0.25">
      <c r="A1124" t="str" cm="1">
        <f t="array" aca="1" ref="A1124" ca="1">"aN_CYC_1_" &amp; INDIRECT("F" &amp; ROW(C1124) - 22) &amp; "_p"</f>
        <v>aN_CYC_1_8_3_p</v>
      </c>
      <c r="B1124">
        <v>0</v>
      </c>
      <c r="C1124" t="s">
        <v>4</v>
      </c>
    </row>
    <row r="1125" spans="1:8" x14ac:dyDescent="0.25">
      <c r="A1125" t="str" cm="1">
        <f t="array" aca="1" ref="A1125" ca="1">"aN_CYC_2_" &amp; INDIRECT("F" &amp; ROW(C1125) - 23) &amp; "_p"</f>
        <v>aN_CYC_2_8_3_p</v>
      </c>
      <c r="B1125">
        <v>0</v>
      </c>
      <c r="C1125" t="s">
        <v>5</v>
      </c>
    </row>
    <row r="1126" spans="1:8" x14ac:dyDescent="0.25">
      <c r="A1126" t="str" cm="1">
        <f t="array" aca="1" ref="A1126" ca="1">"aN_CYC_3_" &amp; INDIRECT("F" &amp; ROW(C1126) - 24) &amp; "_p"</f>
        <v>aN_CYC_3_8_3_p</v>
      </c>
      <c r="B1126">
        <v>2</v>
      </c>
      <c r="C1126" t="s">
        <v>6</v>
      </c>
    </row>
    <row r="1127" spans="1:8" x14ac:dyDescent="0.25">
      <c r="A1127" s="26" t="str">
        <f>"sector " &amp; D1127 &amp; " and region " &amp;E1127</f>
        <v>sector 8 and region 4</v>
      </c>
      <c r="B1127" s="26"/>
      <c r="C1127" s="26"/>
      <c r="D1127" s="24">
        <v>8</v>
      </c>
      <c r="E1127" s="24">
        <v>4</v>
      </c>
      <c r="F1127" s="24" t="str">
        <f>D1127 &amp; "_" &amp; E1127</f>
        <v>8_4</v>
      </c>
    </row>
    <row r="1128" spans="1:8" x14ac:dyDescent="0.25">
      <c r="A1128" s="5" t="s">
        <v>3</v>
      </c>
    </row>
    <row r="1129" spans="1:8" x14ac:dyDescent="0.25">
      <c r="A1129" t="str" cm="1">
        <f t="array" aca="1" ref="A1129" ca="1">"aN_T_1_" &amp; INDIRECT("F" &amp; ROW(C1129)-2) &amp; "_p"</f>
        <v>aN_T_1_8_4_p</v>
      </c>
      <c r="B1129">
        <v>0</v>
      </c>
      <c r="C1129" t="s">
        <v>4</v>
      </c>
    </row>
    <row r="1130" spans="1:8" x14ac:dyDescent="0.25">
      <c r="A1130" t="str" cm="1">
        <f t="array" aca="1" ref="A1130" ca="1">"aN_T_2_" &amp; INDIRECT("F" &amp; ROW(C1130)-3) &amp; "_p"</f>
        <v>aN_T_2_8_4_p</v>
      </c>
      <c r="B1130">
        <v>0</v>
      </c>
      <c r="C1130" t="s">
        <v>5</v>
      </c>
    </row>
    <row r="1131" spans="1:8" x14ac:dyDescent="0.25">
      <c r="A1131" t="str" cm="1">
        <f t="array" aca="1" ref="A1131" ca="1">"aN_T_3_" &amp; INDIRECT("F" &amp; ROW(C1131)-4) &amp; "_p"</f>
        <v>aN_T_3_8_4_p</v>
      </c>
      <c r="B1131">
        <v>2</v>
      </c>
      <c r="C1131" t="s">
        <v>6</v>
      </c>
    </row>
    <row r="1132" spans="1:8" x14ac:dyDescent="0.25">
      <c r="A1132" s="5" t="s">
        <v>8</v>
      </c>
    </row>
    <row r="1133" spans="1:8" x14ac:dyDescent="0.25">
      <c r="A1133" t="str" cm="1">
        <f t="array" aca="1" ref="A1133" ca="1">"aN_WS_1_" &amp; INDIRECT("F" &amp; ROW(C1133)-6) &amp; "_p"</f>
        <v>aN_WS_1_8_4_p</v>
      </c>
      <c r="B1133">
        <v>0</v>
      </c>
      <c r="C1133" t="s">
        <v>4</v>
      </c>
    </row>
    <row r="1134" spans="1:8" x14ac:dyDescent="0.25">
      <c r="A1134" t="str" cm="1">
        <f t="array" aca="1" ref="A1134" ca="1">"aN_WS_2_" &amp; INDIRECT("F" &amp; ROW(C1134)-7) &amp; "_p"</f>
        <v>aN_WS_2_8_4_p</v>
      </c>
      <c r="B1134">
        <v>0</v>
      </c>
      <c r="C1134" t="s">
        <v>5</v>
      </c>
    </row>
    <row r="1135" spans="1:8" x14ac:dyDescent="0.25">
      <c r="A1135" t="str" cm="1">
        <f t="array" aca="1" ref="A1135" ca="1">"aN_WS_3_" &amp; INDIRECT("F" &amp; ROW(C1135)-8) &amp; "_p"</f>
        <v>aN_WS_3_8_4_p</v>
      </c>
      <c r="B1135">
        <v>2</v>
      </c>
      <c r="C1135" t="s">
        <v>6</v>
      </c>
    </row>
    <row r="1136" spans="1:8" x14ac:dyDescent="0.25">
      <c r="A1136" s="5" t="s">
        <v>7</v>
      </c>
      <c r="F1136" s="27"/>
      <c r="G1136" s="27"/>
      <c r="H1136" s="27"/>
    </row>
    <row r="1137" spans="1:8" x14ac:dyDescent="0.25">
      <c r="A1137" t="str" cm="1">
        <f t="array" aca="1" ref="A1137" ca="1">"aN_PREC_1_" &amp; INDIRECT("F" &amp; ROW(C1137) - 10) &amp; "_p"</f>
        <v>aN_PREC_1_8_4_p</v>
      </c>
      <c r="B1137">
        <v>0</v>
      </c>
      <c r="C1137" t="s">
        <v>4</v>
      </c>
    </row>
    <row r="1138" spans="1:8" x14ac:dyDescent="0.25">
      <c r="A1138" t="str" cm="1">
        <f t="array" aca="1" ref="A1138" ca="1">"aN_PREC_2_" &amp; INDIRECT("F" &amp; ROW(C1138) - 11) &amp; "_p"</f>
        <v>aN_PREC_2_8_4_p</v>
      </c>
      <c r="B1138">
        <v>0</v>
      </c>
      <c r="C1138" t="s">
        <v>5</v>
      </c>
    </row>
    <row r="1139" spans="1:8" x14ac:dyDescent="0.25">
      <c r="A1139" t="str" cm="1">
        <f t="array" aca="1" ref="A1139" ca="1">"aN_PREC_3_" &amp; INDIRECT("F" &amp; ROW(C1139) - 12) &amp; "_p"</f>
        <v>aN_PREC_3_8_4_p</v>
      </c>
      <c r="B1139">
        <v>2</v>
      </c>
      <c r="C1139" t="s">
        <v>6</v>
      </c>
    </row>
    <row r="1140" spans="1:8" x14ac:dyDescent="0.25">
      <c r="A1140" s="5" t="s">
        <v>9</v>
      </c>
      <c r="F1140" s="27"/>
      <c r="G1140" s="27"/>
      <c r="H1140" s="27"/>
    </row>
    <row r="1141" spans="1:8" x14ac:dyDescent="0.25">
      <c r="A1141" t="str" cm="1">
        <f t="array" aca="1" ref="A1141" ca="1">"aN_SL_1_" &amp; INDIRECT("F" &amp; ROW(C1141) - 14) &amp; "_p"</f>
        <v>aN_SL_1_8_4_p</v>
      </c>
      <c r="B1141">
        <v>0</v>
      </c>
      <c r="C1141" t="s">
        <v>4</v>
      </c>
    </row>
    <row r="1142" spans="1:8" x14ac:dyDescent="0.25">
      <c r="A1142" t="str" cm="1">
        <f t="array" aca="1" ref="A1142" ca="1">"aN_SL_2_" &amp; INDIRECT("F" &amp; ROW(C1142) - 15) &amp; "_p"</f>
        <v>aN_SL_2_8_4_p</v>
      </c>
      <c r="B1142">
        <v>0</v>
      </c>
      <c r="C1142" t="s">
        <v>5</v>
      </c>
    </row>
    <row r="1143" spans="1:8" x14ac:dyDescent="0.25">
      <c r="A1143" t="str" cm="1">
        <f t="array" aca="1" ref="A1143" ca="1">"aN_SL_3_" &amp; INDIRECT("F" &amp; ROW(C1143) - 16) &amp; "_p"</f>
        <v>aN_SL_3_8_4_p</v>
      </c>
      <c r="B1143">
        <v>2</v>
      </c>
      <c r="C1143" t="s">
        <v>6</v>
      </c>
    </row>
    <row r="1144" spans="1:8" x14ac:dyDescent="0.25">
      <c r="A1144" s="5" t="s">
        <v>95</v>
      </c>
    </row>
    <row r="1145" spans="1:8" x14ac:dyDescent="0.25">
      <c r="A1145" t="str" cm="1">
        <f t="array" aca="1" ref="A1145" ca="1">"aN_DRO_1_" &amp; INDIRECT("F" &amp; ROW(C1145) - 18) &amp; "_p"</f>
        <v>aN_DRO_1_8_4_p</v>
      </c>
      <c r="B1145">
        <v>0.01</v>
      </c>
      <c r="C1145" t="s">
        <v>4</v>
      </c>
    </row>
    <row r="1146" spans="1:8" x14ac:dyDescent="0.25">
      <c r="A1146" t="str" cm="1">
        <f t="array" aca="1" ref="A1146" ca="1">"aN_DRO_2_" &amp; INDIRECT("F" &amp; ROW(C1146) - 19) &amp; "_p"</f>
        <v>aN_DRO_2_8_4_p</v>
      </c>
      <c r="B1146">
        <v>0</v>
      </c>
      <c r="C1146" t="s">
        <v>5</v>
      </c>
    </row>
    <row r="1147" spans="1:8" x14ac:dyDescent="0.25">
      <c r="A1147" t="str" cm="1">
        <f t="array" aca="1" ref="A1147" ca="1">"aN_DRO_3_" &amp; INDIRECT("F" &amp; ROW(C1147) - 20) &amp; "_p"</f>
        <v>aN_DRO_3_8_4_p</v>
      </c>
      <c r="B1147">
        <v>2</v>
      </c>
      <c r="C1147" t="s">
        <v>6</v>
      </c>
    </row>
    <row r="1148" spans="1:8" x14ac:dyDescent="0.25">
      <c r="A1148" s="5" t="s">
        <v>96</v>
      </c>
    </row>
    <row r="1149" spans="1:8" x14ac:dyDescent="0.25">
      <c r="A1149" t="str" cm="1">
        <f t="array" aca="1" ref="A1149" ca="1">"aN_CYC_1_" &amp; INDIRECT("F" &amp; ROW(C1149) - 22) &amp; "_p"</f>
        <v>aN_CYC_1_8_4_p</v>
      </c>
      <c r="B1149">
        <v>0</v>
      </c>
      <c r="C1149" t="s">
        <v>4</v>
      </c>
    </row>
    <row r="1150" spans="1:8" x14ac:dyDescent="0.25">
      <c r="A1150" t="str" cm="1">
        <f t="array" aca="1" ref="A1150" ca="1">"aN_CYC_2_" &amp; INDIRECT("F" &amp; ROW(C1150) - 23) &amp; "_p"</f>
        <v>aN_CYC_2_8_4_p</v>
      </c>
      <c r="B1150">
        <v>0</v>
      </c>
      <c r="C1150" t="s">
        <v>5</v>
      </c>
    </row>
    <row r="1151" spans="1:8" x14ac:dyDescent="0.25">
      <c r="A1151" t="str" cm="1">
        <f t="array" aca="1" ref="A1151" ca="1">"aN_CYC_3_" &amp; INDIRECT("F" &amp; ROW(C1151) - 24) &amp; "_p"</f>
        <v>aN_CYC_3_8_4_p</v>
      </c>
      <c r="B1151">
        <v>2</v>
      </c>
      <c r="C1151" t="s">
        <v>6</v>
      </c>
    </row>
    <row r="1152" spans="1:8" x14ac:dyDescent="0.25">
      <c r="A1152" s="26" t="str">
        <f>"sector " &amp; D1152 &amp; " and region " &amp;E1152</f>
        <v>sector 8 and region 5</v>
      </c>
      <c r="B1152" s="26"/>
      <c r="C1152" s="26"/>
      <c r="D1152" s="24">
        <v>8</v>
      </c>
      <c r="E1152" s="24">
        <v>5</v>
      </c>
      <c r="F1152" s="24" t="str">
        <f>D1152 &amp; "_" &amp; E1152</f>
        <v>8_5</v>
      </c>
    </row>
    <row r="1153" spans="1:8" x14ac:dyDescent="0.25">
      <c r="A1153" s="5" t="s">
        <v>3</v>
      </c>
    </row>
    <row r="1154" spans="1:8" x14ac:dyDescent="0.25">
      <c r="A1154" t="str" cm="1">
        <f t="array" aca="1" ref="A1154" ca="1">"aN_T_1_" &amp; INDIRECT("F" &amp; ROW(C1154)-2) &amp; "_p"</f>
        <v>aN_T_1_8_5_p</v>
      </c>
      <c r="B1154">
        <v>0</v>
      </c>
      <c r="C1154" t="s">
        <v>4</v>
      </c>
    </row>
    <row r="1155" spans="1:8" x14ac:dyDescent="0.25">
      <c r="A1155" t="str" cm="1">
        <f t="array" aca="1" ref="A1155" ca="1">"aN_T_2_" &amp; INDIRECT("F" &amp; ROW(C1155)-3) &amp; "_p"</f>
        <v>aN_T_2_8_5_p</v>
      </c>
      <c r="B1155">
        <v>0</v>
      </c>
      <c r="C1155" t="s">
        <v>5</v>
      </c>
    </row>
    <row r="1156" spans="1:8" x14ac:dyDescent="0.25">
      <c r="A1156" t="str" cm="1">
        <f t="array" aca="1" ref="A1156" ca="1">"aN_T_3_" &amp; INDIRECT("F" &amp; ROW(C1156)-4) &amp; "_p"</f>
        <v>aN_T_3_8_5_p</v>
      </c>
      <c r="B1156">
        <v>2</v>
      </c>
      <c r="C1156" t="s">
        <v>6</v>
      </c>
    </row>
    <row r="1157" spans="1:8" x14ac:dyDescent="0.25">
      <c r="A1157" s="5" t="s">
        <v>8</v>
      </c>
    </row>
    <row r="1158" spans="1:8" x14ac:dyDescent="0.25">
      <c r="A1158" t="str" cm="1">
        <f t="array" aca="1" ref="A1158" ca="1">"aN_WS_1_" &amp; INDIRECT("F" &amp; ROW(C1158)-6) &amp; "_p"</f>
        <v>aN_WS_1_8_5_p</v>
      </c>
      <c r="B1158">
        <v>0</v>
      </c>
      <c r="C1158" t="s">
        <v>4</v>
      </c>
    </row>
    <row r="1159" spans="1:8" x14ac:dyDescent="0.25">
      <c r="A1159" t="str" cm="1">
        <f t="array" aca="1" ref="A1159" ca="1">"aN_WS_2_" &amp; INDIRECT("F" &amp; ROW(C1159)-7) &amp; "_p"</f>
        <v>aN_WS_2_8_5_p</v>
      </c>
      <c r="B1159">
        <v>0</v>
      </c>
      <c r="C1159" t="s">
        <v>5</v>
      </c>
    </row>
    <row r="1160" spans="1:8" x14ac:dyDescent="0.25">
      <c r="A1160" t="str" cm="1">
        <f t="array" aca="1" ref="A1160" ca="1">"aN_WS_3_" &amp; INDIRECT("F" &amp; ROW(C1160)-8) &amp; "_p"</f>
        <v>aN_WS_3_8_5_p</v>
      </c>
      <c r="B1160">
        <v>2</v>
      </c>
      <c r="C1160" t="s">
        <v>6</v>
      </c>
    </row>
    <row r="1161" spans="1:8" x14ac:dyDescent="0.25">
      <c r="A1161" s="5" t="s">
        <v>7</v>
      </c>
      <c r="F1161" s="27"/>
      <c r="G1161" s="27"/>
      <c r="H1161" s="27"/>
    </row>
    <row r="1162" spans="1:8" x14ac:dyDescent="0.25">
      <c r="A1162" t="str" cm="1">
        <f t="array" aca="1" ref="A1162" ca="1">"aN_PREC_1_" &amp; INDIRECT("F" &amp; ROW(C1162) - 10) &amp; "_p"</f>
        <v>aN_PREC_1_8_5_p</v>
      </c>
      <c r="B1162">
        <v>0</v>
      </c>
      <c r="C1162" t="s">
        <v>4</v>
      </c>
    </row>
    <row r="1163" spans="1:8" x14ac:dyDescent="0.25">
      <c r="A1163" t="str" cm="1">
        <f t="array" aca="1" ref="A1163" ca="1">"aN_PREC_2_" &amp; INDIRECT("F" &amp; ROW(C1163) - 11) &amp; "_p"</f>
        <v>aN_PREC_2_8_5_p</v>
      </c>
      <c r="B1163">
        <v>0</v>
      </c>
      <c r="C1163" t="s">
        <v>5</v>
      </c>
    </row>
    <row r="1164" spans="1:8" x14ac:dyDescent="0.25">
      <c r="A1164" t="str" cm="1">
        <f t="array" aca="1" ref="A1164" ca="1">"aN_PREC_3_" &amp; INDIRECT("F" &amp; ROW(C1164) - 12) &amp; "_p"</f>
        <v>aN_PREC_3_8_5_p</v>
      </c>
      <c r="B1164">
        <v>2</v>
      </c>
      <c r="C1164" t="s">
        <v>6</v>
      </c>
    </row>
    <row r="1165" spans="1:8" x14ac:dyDescent="0.25">
      <c r="A1165" s="5" t="s">
        <v>9</v>
      </c>
      <c r="F1165" s="27"/>
      <c r="G1165" s="27"/>
      <c r="H1165" s="27"/>
    </row>
    <row r="1166" spans="1:8" x14ac:dyDescent="0.25">
      <c r="A1166" t="str" cm="1">
        <f t="array" aca="1" ref="A1166" ca="1">"aN_SL_1_" &amp; INDIRECT("F" &amp; ROW(C1166) - 14) &amp; "_p"</f>
        <v>aN_SL_1_8_5_p</v>
      </c>
      <c r="B1166">
        <v>0</v>
      </c>
      <c r="C1166" t="s">
        <v>4</v>
      </c>
    </row>
    <row r="1167" spans="1:8" x14ac:dyDescent="0.25">
      <c r="A1167" t="str" cm="1">
        <f t="array" aca="1" ref="A1167" ca="1">"aN_SL_2_" &amp; INDIRECT("F" &amp; ROW(C1167) - 15) &amp; "_p"</f>
        <v>aN_SL_2_8_5_p</v>
      </c>
      <c r="B1167">
        <v>0</v>
      </c>
      <c r="C1167" t="s">
        <v>5</v>
      </c>
    </row>
    <row r="1168" spans="1:8" x14ac:dyDescent="0.25">
      <c r="A1168" t="str" cm="1">
        <f t="array" aca="1" ref="A1168" ca="1">"aN_SL_3_" &amp; INDIRECT("F" &amp; ROW(C1168) - 16) &amp; "_p"</f>
        <v>aN_SL_3_8_5_p</v>
      </c>
      <c r="B1168">
        <v>2</v>
      </c>
      <c r="C1168" t="s">
        <v>6</v>
      </c>
    </row>
    <row r="1169" spans="1:6" x14ac:dyDescent="0.25">
      <c r="A1169" s="5" t="s">
        <v>95</v>
      </c>
    </row>
    <row r="1170" spans="1:6" x14ac:dyDescent="0.25">
      <c r="A1170" t="str" cm="1">
        <f t="array" aca="1" ref="A1170" ca="1">"aN_DRO_1_" &amp; INDIRECT("F" &amp; ROW(C1170) - 18) &amp; "_p"</f>
        <v>aN_DRO_1_8_5_p</v>
      </c>
      <c r="B1170">
        <v>0.01</v>
      </c>
      <c r="C1170" t="s">
        <v>4</v>
      </c>
    </row>
    <row r="1171" spans="1:6" x14ac:dyDescent="0.25">
      <c r="A1171" t="str" cm="1">
        <f t="array" aca="1" ref="A1171" ca="1">"aN_DRO_2_" &amp; INDIRECT("F" &amp; ROW(C1171) - 19) &amp; "_p"</f>
        <v>aN_DRO_2_8_5_p</v>
      </c>
      <c r="B1171">
        <v>0</v>
      </c>
      <c r="C1171" t="s">
        <v>5</v>
      </c>
    </row>
    <row r="1172" spans="1:6" x14ac:dyDescent="0.25">
      <c r="A1172" t="str" cm="1">
        <f t="array" aca="1" ref="A1172" ca="1">"aN_DRO_3_" &amp; INDIRECT("F" &amp; ROW(C1172) - 20) &amp; "_p"</f>
        <v>aN_DRO_3_8_5_p</v>
      </c>
      <c r="B1172">
        <v>2</v>
      </c>
      <c r="C1172" t="s">
        <v>6</v>
      </c>
    </row>
    <row r="1173" spans="1:6" x14ac:dyDescent="0.25">
      <c r="A1173" s="5" t="s">
        <v>96</v>
      </c>
    </row>
    <row r="1174" spans="1:6" x14ac:dyDescent="0.25">
      <c r="A1174" t="str" cm="1">
        <f t="array" aca="1" ref="A1174" ca="1">"aN_CYC_1_" &amp; INDIRECT("F" &amp; ROW(C1174) - 22) &amp; "_p"</f>
        <v>aN_CYC_1_8_5_p</v>
      </c>
      <c r="B1174">
        <v>0</v>
      </c>
      <c r="C1174" t="s">
        <v>4</v>
      </c>
    </row>
    <row r="1175" spans="1:6" x14ac:dyDescent="0.25">
      <c r="A1175" t="str" cm="1">
        <f t="array" aca="1" ref="A1175" ca="1">"aN_CYC_2_" &amp; INDIRECT("F" &amp; ROW(C1175) - 23) &amp; "_p"</f>
        <v>aN_CYC_2_8_5_p</v>
      </c>
      <c r="B1175">
        <v>0</v>
      </c>
      <c r="C1175" t="s">
        <v>5</v>
      </c>
    </row>
    <row r="1176" spans="1:6" x14ac:dyDescent="0.25">
      <c r="A1176" t="str" cm="1">
        <f t="array" aca="1" ref="A1176" ca="1">"aN_CYC_3_" &amp; INDIRECT("F" &amp; ROW(C1176) - 24) &amp; "_p"</f>
        <v>aN_CYC_3_8_5_p</v>
      </c>
      <c r="B1176">
        <v>2</v>
      </c>
      <c r="C1176" t="s">
        <v>6</v>
      </c>
    </row>
    <row r="1177" spans="1:6" x14ac:dyDescent="0.25">
      <c r="A1177" s="26" t="str">
        <f>"sector " &amp; D1177 &amp; " and region " &amp;E1177</f>
        <v>sector 8 and region 6</v>
      </c>
      <c r="B1177" s="26"/>
      <c r="C1177" s="26"/>
      <c r="D1177" s="24">
        <v>8</v>
      </c>
      <c r="E1177" s="24">
        <v>6</v>
      </c>
      <c r="F1177" s="24" t="str">
        <f>D1177 &amp; "_" &amp; E1177</f>
        <v>8_6</v>
      </c>
    </row>
    <row r="1178" spans="1:6" x14ac:dyDescent="0.25">
      <c r="A1178" s="5" t="s">
        <v>3</v>
      </c>
    </row>
    <row r="1179" spans="1:6" x14ac:dyDescent="0.25">
      <c r="A1179" t="str" cm="1">
        <f t="array" aca="1" ref="A1179" ca="1">"aN_T_1_" &amp; INDIRECT("F" &amp; ROW(C1179)-2) &amp; "_p"</f>
        <v>aN_T_1_8_6_p</v>
      </c>
      <c r="B1179">
        <v>0</v>
      </c>
      <c r="C1179" t="s">
        <v>4</v>
      </c>
    </row>
    <row r="1180" spans="1:6" x14ac:dyDescent="0.25">
      <c r="A1180" t="str" cm="1">
        <f t="array" aca="1" ref="A1180" ca="1">"aN_T_2_" &amp; INDIRECT("F" &amp; ROW(C1180)-3) &amp; "_p"</f>
        <v>aN_T_2_8_6_p</v>
      </c>
      <c r="B1180">
        <v>0</v>
      </c>
      <c r="C1180" t="s">
        <v>5</v>
      </c>
    </row>
    <row r="1181" spans="1:6" x14ac:dyDescent="0.25">
      <c r="A1181" t="str" cm="1">
        <f t="array" aca="1" ref="A1181" ca="1">"aN_T_3_" &amp; INDIRECT("F" &amp; ROW(C1181)-4) &amp; "_p"</f>
        <v>aN_T_3_8_6_p</v>
      </c>
      <c r="B1181">
        <v>2</v>
      </c>
      <c r="C1181" t="s">
        <v>6</v>
      </c>
    </row>
    <row r="1182" spans="1:6" x14ac:dyDescent="0.25">
      <c r="A1182" s="5" t="s">
        <v>8</v>
      </c>
    </row>
    <row r="1183" spans="1:6" x14ac:dyDescent="0.25">
      <c r="A1183" t="str" cm="1">
        <f t="array" aca="1" ref="A1183" ca="1">"aN_WS_1_" &amp; INDIRECT("F" &amp; ROW(C1183)-6) &amp; "_p"</f>
        <v>aN_WS_1_8_6_p</v>
      </c>
      <c r="B1183">
        <v>0</v>
      </c>
      <c r="C1183" t="s">
        <v>4</v>
      </c>
    </row>
    <row r="1184" spans="1:6" x14ac:dyDescent="0.25">
      <c r="A1184" t="str" cm="1">
        <f t="array" aca="1" ref="A1184" ca="1">"aN_WS_2_" &amp; INDIRECT("F" &amp; ROW(C1184)-7) &amp; "_p"</f>
        <v>aN_WS_2_8_6_p</v>
      </c>
      <c r="B1184">
        <v>0</v>
      </c>
      <c r="C1184" t="s">
        <v>5</v>
      </c>
    </row>
    <row r="1185" spans="1:8" x14ac:dyDescent="0.25">
      <c r="A1185" t="str" cm="1">
        <f t="array" aca="1" ref="A1185" ca="1">"aN_WS_3_" &amp; INDIRECT("F" &amp; ROW(C1185)-8) &amp; "_p"</f>
        <v>aN_WS_3_8_6_p</v>
      </c>
      <c r="B1185">
        <v>2</v>
      </c>
      <c r="C1185" t="s">
        <v>6</v>
      </c>
    </row>
    <row r="1186" spans="1:8" x14ac:dyDescent="0.25">
      <c r="A1186" s="5" t="s">
        <v>7</v>
      </c>
      <c r="F1186" s="27"/>
      <c r="G1186" s="27"/>
      <c r="H1186" s="27"/>
    </row>
    <row r="1187" spans="1:8" x14ac:dyDescent="0.25">
      <c r="A1187" t="str" cm="1">
        <f t="array" aca="1" ref="A1187" ca="1">"aN_PREC_1_" &amp; INDIRECT("F" &amp; ROW(C1187) - 10) &amp; "_p"</f>
        <v>aN_PREC_1_8_6_p</v>
      </c>
      <c r="B1187">
        <v>0</v>
      </c>
      <c r="C1187" t="s">
        <v>4</v>
      </c>
    </row>
    <row r="1188" spans="1:8" x14ac:dyDescent="0.25">
      <c r="A1188" t="str" cm="1">
        <f t="array" aca="1" ref="A1188" ca="1">"aN_PREC_2_" &amp; INDIRECT("F" &amp; ROW(C1188) - 11) &amp; "_p"</f>
        <v>aN_PREC_2_8_6_p</v>
      </c>
      <c r="B1188">
        <v>0</v>
      </c>
      <c r="C1188" t="s">
        <v>5</v>
      </c>
    </row>
    <row r="1189" spans="1:8" x14ac:dyDescent="0.25">
      <c r="A1189" t="str" cm="1">
        <f t="array" aca="1" ref="A1189" ca="1">"aN_PREC_3_" &amp; INDIRECT("F" &amp; ROW(C1189) - 12) &amp; "_p"</f>
        <v>aN_PREC_3_8_6_p</v>
      </c>
      <c r="B1189">
        <v>2</v>
      </c>
      <c r="C1189" t="s">
        <v>6</v>
      </c>
    </row>
    <row r="1190" spans="1:8" x14ac:dyDescent="0.25">
      <c r="A1190" s="5" t="s">
        <v>9</v>
      </c>
      <c r="F1190" s="27"/>
      <c r="G1190" s="27"/>
      <c r="H1190" s="27"/>
    </row>
    <row r="1191" spans="1:8" x14ac:dyDescent="0.25">
      <c r="A1191" t="str" cm="1">
        <f t="array" aca="1" ref="A1191" ca="1">"aN_SL_1_" &amp; INDIRECT("F" &amp; ROW(C1191) - 14) &amp; "_p"</f>
        <v>aN_SL_1_8_6_p</v>
      </c>
      <c r="B1191">
        <v>0</v>
      </c>
      <c r="C1191" t="s">
        <v>4</v>
      </c>
    </row>
    <row r="1192" spans="1:8" x14ac:dyDescent="0.25">
      <c r="A1192" t="str" cm="1">
        <f t="array" aca="1" ref="A1192" ca="1">"aN_SL_2_" &amp; INDIRECT("F" &amp; ROW(C1192) - 15) &amp; "_p"</f>
        <v>aN_SL_2_8_6_p</v>
      </c>
      <c r="B1192">
        <v>0</v>
      </c>
      <c r="C1192" t="s">
        <v>5</v>
      </c>
    </row>
    <row r="1193" spans="1:8" x14ac:dyDescent="0.25">
      <c r="A1193" t="str" cm="1">
        <f t="array" aca="1" ref="A1193" ca="1">"aN_SL_3_" &amp; INDIRECT("F" &amp; ROW(C1193) - 16) &amp; "_p"</f>
        <v>aN_SL_3_8_6_p</v>
      </c>
      <c r="B1193">
        <v>2</v>
      </c>
      <c r="C1193" t="s">
        <v>6</v>
      </c>
    </row>
    <row r="1194" spans="1:8" x14ac:dyDescent="0.25">
      <c r="A1194" s="5" t="s">
        <v>95</v>
      </c>
    </row>
    <row r="1195" spans="1:8" x14ac:dyDescent="0.25">
      <c r="A1195" t="str" cm="1">
        <f t="array" aca="1" ref="A1195" ca="1">"aN_DRO_1_" &amp; INDIRECT("F" &amp; ROW(C1195) - 18) &amp; "_p"</f>
        <v>aN_DRO_1_8_6_p</v>
      </c>
      <c r="B1195">
        <v>0.01</v>
      </c>
      <c r="C1195" t="s">
        <v>4</v>
      </c>
    </row>
    <row r="1196" spans="1:8" x14ac:dyDescent="0.25">
      <c r="A1196" t="str" cm="1">
        <f t="array" aca="1" ref="A1196" ca="1">"aN_DRO_2_" &amp; INDIRECT("F" &amp; ROW(C1196) - 19) &amp; "_p"</f>
        <v>aN_DRO_2_8_6_p</v>
      </c>
      <c r="B1196">
        <v>0</v>
      </c>
      <c r="C1196" t="s">
        <v>5</v>
      </c>
    </row>
    <row r="1197" spans="1:8" x14ac:dyDescent="0.25">
      <c r="A1197" t="str" cm="1">
        <f t="array" aca="1" ref="A1197" ca="1">"aN_DRO_3_" &amp; INDIRECT("F" &amp; ROW(C1197) - 20) &amp; "_p"</f>
        <v>aN_DRO_3_8_6_p</v>
      </c>
      <c r="B1197">
        <v>2</v>
      </c>
      <c r="C1197" t="s">
        <v>6</v>
      </c>
    </row>
    <row r="1198" spans="1:8" x14ac:dyDescent="0.25">
      <c r="A1198" s="5" t="s">
        <v>96</v>
      </c>
    </row>
    <row r="1199" spans="1:8" x14ac:dyDescent="0.25">
      <c r="A1199" t="str" cm="1">
        <f t="array" aca="1" ref="A1199" ca="1">"aN_CYC_1_" &amp; INDIRECT("F" &amp; ROW(C1199) - 22) &amp; "_p"</f>
        <v>aN_CYC_1_8_6_p</v>
      </c>
      <c r="B1199">
        <v>0</v>
      </c>
      <c r="C1199" t="s">
        <v>4</v>
      </c>
    </row>
    <row r="1200" spans="1:8" x14ac:dyDescent="0.25">
      <c r="A1200" t="str" cm="1">
        <f t="array" aca="1" ref="A1200" ca="1">"aN_CYC_2_" &amp; INDIRECT("F" &amp; ROW(C1200) - 23) &amp; "_p"</f>
        <v>aN_CYC_2_8_6_p</v>
      </c>
      <c r="B1200">
        <v>0</v>
      </c>
      <c r="C1200" t="s">
        <v>5</v>
      </c>
    </row>
    <row r="1201" spans="1:8" x14ac:dyDescent="0.25">
      <c r="A1201" t="str" cm="1">
        <f t="array" aca="1" ref="A1201" ca="1">"aN_CYC_3_" &amp; INDIRECT("F" &amp; ROW(C1201) - 24) &amp; "_p"</f>
        <v>aN_CYC_3_8_6_p</v>
      </c>
      <c r="B1201">
        <v>2</v>
      </c>
      <c r="C1201" t="s">
        <v>6</v>
      </c>
    </row>
    <row r="1202" spans="1:8" x14ac:dyDescent="0.25">
      <c r="A1202" s="26" t="str">
        <f>"sector " &amp; D1202 &amp; " and region " &amp;E1202</f>
        <v>sector 9 and region 1</v>
      </c>
      <c r="B1202" s="26"/>
      <c r="C1202" s="26"/>
      <c r="D1202" s="24">
        <v>9</v>
      </c>
      <c r="E1202" s="24">
        <v>1</v>
      </c>
      <c r="F1202" s="24" t="str">
        <f>D1202 &amp; "_" &amp; E1202</f>
        <v>9_1</v>
      </c>
    </row>
    <row r="1203" spans="1:8" x14ac:dyDescent="0.25">
      <c r="A1203" s="5" t="s">
        <v>3</v>
      </c>
    </row>
    <row r="1204" spans="1:8" x14ac:dyDescent="0.25">
      <c r="A1204" t="str" cm="1">
        <f t="array" aca="1" ref="A1204" ca="1">"aN_T_1_" &amp; INDIRECT("F" &amp; ROW(C1204)-2) &amp; "_p"</f>
        <v>aN_T_1_9_1_p</v>
      </c>
      <c r="B1204">
        <v>0</v>
      </c>
      <c r="C1204" t="s">
        <v>4</v>
      </c>
    </row>
    <row r="1205" spans="1:8" x14ac:dyDescent="0.25">
      <c r="A1205" t="str" cm="1">
        <f t="array" aca="1" ref="A1205" ca="1">"aN_T_2_" &amp; INDIRECT("F" &amp; ROW(C1205)-3) &amp; "_p"</f>
        <v>aN_T_2_9_1_p</v>
      </c>
      <c r="B1205">
        <v>0</v>
      </c>
      <c r="C1205" t="s">
        <v>5</v>
      </c>
    </row>
    <row r="1206" spans="1:8" x14ac:dyDescent="0.25">
      <c r="A1206" t="str" cm="1">
        <f t="array" aca="1" ref="A1206" ca="1">"aN_T_3_" &amp; INDIRECT("F" &amp; ROW(C1206)-4) &amp; "_p"</f>
        <v>aN_T_3_9_1_p</v>
      </c>
      <c r="B1206">
        <v>2</v>
      </c>
      <c r="C1206" t="s">
        <v>6</v>
      </c>
    </row>
    <row r="1207" spans="1:8" x14ac:dyDescent="0.25">
      <c r="A1207" s="5" t="s">
        <v>8</v>
      </c>
    </row>
    <row r="1208" spans="1:8" x14ac:dyDescent="0.25">
      <c r="A1208" t="str" cm="1">
        <f t="array" aca="1" ref="A1208" ca="1">"aN_WS_1_" &amp; INDIRECT("F" &amp; ROW(C1208)-6) &amp; "_p"</f>
        <v>aN_WS_1_9_1_p</v>
      </c>
      <c r="B1208">
        <v>0</v>
      </c>
      <c r="C1208" t="s">
        <v>4</v>
      </c>
    </row>
    <row r="1209" spans="1:8" x14ac:dyDescent="0.25">
      <c r="A1209" t="str" cm="1">
        <f t="array" aca="1" ref="A1209" ca="1">"aN_WS_2_" &amp; INDIRECT("F" &amp; ROW(C1209)-7) &amp; "_p"</f>
        <v>aN_WS_2_9_1_p</v>
      </c>
      <c r="B1209">
        <v>0</v>
      </c>
      <c r="C1209" t="s">
        <v>5</v>
      </c>
    </row>
    <row r="1210" spans="1:8" x14ac:dyDescent="0.25">
      <c r="A1210" t="str" cm="1">
        <f t="array" aca="1" ref="A1210" ca="1">"aN_WS_3_" &amp; INDIRECT("F" &amp; ROW(C1210)-8) &amp; "_p"</f>
        <v>aN_WS_3_9_1_p</v>
      </c>
      <c r="B1210">
        <v>2</v>
      </c>
      <c r="C1210" t="s">
        <v>6</v>
      </c>
    </row>
    <row r="1211" spans="1:8" x14ac:dyDescent="0.25">
      <c r="A1211" s="5" t="s">
        <v>7</v>
      </c>
      <c r="F1211" s="27"/>
      <c r="G1211" s="27"/>
      <c r="H1211" s="27"/>
    </row>
    <row r="1212" spans="1:8" x14ac:dyDescent="0.25">
      <c r="A1212" t="str" cm="1">
        <f t="array" aca="1" ref="A1212" ca="1">"aN_PREC_1_" &amp; INDIRECT("F" &amp; ROW(C1212) - 10) &amp; "_p"</f>
        <v>aN_PREC_1_9_1_p</v>
      </c>
      <c r="B1212">
        <v>0</v>
      </c>
      <c r="C1212" t="s">
        <v>4</v>
      </c>
    </row>
    <row r="1213" spans="1:8" x14ac:dyDescent="0.25">
      <c r="A1213" t="str" cm="1">
        <f t="array" aca="1" ref="A1213" ca="1">"aN_PREC_2_" &amp; INDIRECT("F" &amp; ROW(C1213) - 11) &amp; "_p"</f>
        <v>aN_PREC_2_9_1_p</v>
      </c>
      <c r="B1213">
        <v>0</v>
      </c>
      <c r="C1213" t="s">
        <v>5</v>
      </c>
    </row>
    <row r="1214" spans="1:8" x14ac:dyDescent="0.25">
      <c r="A1214" t="str" cm="1">
        <f t="array" aca="1" ref="A1214" ca="1">"aN_PREC_3_" &amp; INDIRECT("F" &amp; ROW(C1214) - 12) &amp; "_p"</f>
        <v>aN_PREC_3_9_1_p</v>
      </c>
      <c r="B1214">
        <v>2</v>
      </c>
      <c r="C1214" t="s">
        <v>6</v>
      </c>
    </row>
    <row r="1215" spans="1:8" x14ac:dyDescent="0.25">
      <c r="A1215" s="5" t="s">
        <v>9</v>
      </c>
      <c r="F1215" s="27"/>
      <c r="G1215" s="27"/>
      <c r="H1215" s="27"/>
    </row>
    <row r="1216" spans="1:8" x14ac:dyDescent="0.25">
      <c r="A1216" t="str" cm="1">
        <f t="array" aca="1" ref="A1216" ca="1">"aN_SL_1_" &amp; INDIRECT("F" &amp; ROW(C1216) - 14) &amp; "_p"</f>
        <v>aN_SL_1_9_1_p</v>
      </c>
      <c r="B1216">
        <v>0</v>
      </c>
      <c r="C1216" t="s">
        <v>4</v>
      </c>
    </row>
    <row r="1217" spans="1:6" x14ac:dyDescent="0.25">
      <c r="A1217" t="str" cm="1">
        <f t="array" aca="1" ref="A1217" ca="1">"aN_SL_2_" &amp; INDIRECT("F" &amp; ROW(C1217) - 15) &amp; "_p"</f>
        <v>aN_SL_2_9_1_p</v>
      </c>
      <c r="B1217">
        <v>0</v>
      </c>
      <c r="C1217" t="s">
        <v>5</v>
      </c>
    </row>
    <row r="1218" spans="1:6" x14ac:dyDescent="0.25">
      <c r="A1218" t="str" cm="1">
        <f t="array" aca="1" ref="A1218" ca="1">"aN_SL_3_" &amp; INDIRECT("F" &amp; ROW(C1218) - 16) &amp; "_p"</f>
        <v>aN_SL_3_9_1_p</v>
      </c>
      <c r="B1218">
        <v>2</v>
      </c>
      <c r="C1218" t="s">
        <v>6</v>
      </c>
    </row>
    <row r="1219" spans="1:6" x14ac:dyDescent="0.25">
      <c r="A1219" s="5" t="s">
        <v>95</v>
      </c>
    </row>
    <row r="1220" spans="1:6" x14ac:dyDescent="0.25">
      <c r="A1220" t="str" cm="1">
        <f t="array" aca="1" ref="A1220" ca="1">"aN_DRO_1_" &amp; INDIRECT("F" &amp; ROW(C1220) - 18) &amp; "_p"</f>
        <v>aN_DRO_1_9_1_p</v>
      </c>
      <c r="B1220">
        <v>0.01</v>
      </c>
      <c r="C1220" t="s">
        <v>4</v>
      </c>
    </row>
    <row r="1221" spans="1:6" x14ac:dyDescent="0.25">
      <c r="A1221" t="str" cm="1">
        <f t="array" aca="1" ref="A1221" ca="1">"aN_DRO_2_" &amp; INDIRECT("F" &amp; ROW(C1221) - 19) &amp; "_p"</f>
        <v>aN_DRO_2_9_1_p</v>
      </c>
      <c r="B1221">
        <v>0</v>
      </c>
      <c r="C1221" t="s">
        <v>5</v>
      </c>
    </row>
    <row r="1222" spans="1:6" x14ac:dyDescent="0.25">
      <c r="A1222" t="str" cm="1">
        <f t="array" aca="1" ref="A1222" ca="1">"aN_DRO_3_" &amp; INDIRECT("F" &amp; ROW(C1222) - 20) &amp; "_p"</f>
        <v>aN_DRO_3_9_1_p</v>
      </c>
      <c r="B1222">
        <v>2</v>
      </c>
      <c r="C1222" t="s">
        <v>6</v>
      </c>
    </row>
    <row r="1223" spans="1:6" x14ac:dyDescent="0.25">
      <c r="A1223" s="5" t="s">
        <v>96</v>
      </c>
    </row>
    <row r="1224" spans="1:6" x14ac:dyDescent="0.25">
      <c r="A1224" t="str" cm="1">
        <f t="array" aca="1" ref="A1224" ca="1">"aN_CYC_1_" &amp; INDIRECT("F" &amp; ROW(C1224) - 22) &amp; "_p"</f>
        <v>aN_CYC_1_9_1_p</v>
      </c>
      <c r="B1224">
        <v>0</v>
      </c>
      <c r="C1224" t="s">
        <v>4</v>
      </c>
    </row>
    <row r="1225" spans="1:6" x14ac:dyDescent="0.25">
      <c r="A1225" t="str" cm="1">
        <f t="array" aca="1" ref="A1225" ca="1">"aN_CYC_2_" &amp; INDIRECT("F" &amp; ROW(C1225) - 23) &amp; "_p"</f>
        <v>aN_CYC_2_9_1_p</v>
      </c>
      <c r="B1225">
        <v>0</v>
      </c>
      <c r="C1225" t="s">
        <v>5</v>
      </c>
    </row>
    <row r="1226" spans="1:6" x14ac:dyDescent="0.25">
      <c r="A1226" t="str" cm="1">
        <f t="array" aca="1" ref="A1226" ca="1">"aN_CYC_3_" &amp; INDIRECT("F" &amp; ROW(C1226) - 24) &amp; "_p"</f>
        <v>aN_CYC_3_9_1_p</v>
      </c>
      <c r="B1226">
        <v>2</v>
      </c>
      <c r="C1226" t="s">
        <v>6</v>
      </c>
    </row>
    <row r="1227" spans="1:6" x14ac:dyDescent="0.25">
      <c r="A1227" s="26" t="str">
        <f>"sector " &amp; D1227 &amp; " and region " &amp;E1227</f>
        <v>sector 9 and region 2</v>
      </c>
      <c r="B1227" s="26"/>
      <c r="C1227" s="26"/>
      <c r="D1227" s="24">
        <v>9</v>
      </c>
      <c r="E1227" s="24">
        <v>2</v>
      </c>
      <c r="F1227" s="24" t="str">
        <f>D1227 &amp; "_" &amp; E1227</f>
        <v>9_2</v>
      </c>
    </row>
    <row r="1228" spans="1:6" x14ac:dyDescent="0.25">
      <c r="A1228" s="5" t="s">
        <v>3</v>
      </c>
    </row>
    <row r="1229" spans="1:6" x14ac:dyDescent="0.25">
      <c r="A1229" t="str" cm="1">
        <f t="array" aca="1" ref="A1229" ca="1">"aN_T_1_" &amp; INDIRECT("F" &amp; ROW(C1229)-2) &amp; "_p"</f>
        <v>aN_T_1_9_2_p</v>
      </c>
      <c r="B1229">
        <v>0</v>
      </c>
      <c r="C1229" t="s">
        <v>4</v>
      </c>
    </row>
    <row r="1230" spans="1:6" x14ac:dyDescent="0.25">
      <c r="A1230" t="str" cm="1">
        <f t="array" aca="1" ref="A1230" ca="1">"aN_T_2_" &amp; INDIRECT("F" &amp; ROW(C1230)-3) &amp; "_p"</f>
        <v>aN_T_2_9_2_p</v>
      </c>
      <c r="B1230">
        <v>0</v>
      </c>
      <c r="C1230" t="s">
        <v>5</v>
      </c>
    </row>
    <row r="1231" spans="1:6" x14ac:dyDescent="0.25">
      <c r="A1231" t="str" cm="1">
        <f t="array" aca="1" ref="A1231" ca="1">"aN_T_3_" &amp; INDIRECT("F" &amp; ROW(C1231)-4) &amp; "_p"</f>
        <v>aN_T_3_9_2_p</v>
      </c>
      <c r="B1231">
        <v>2</v>
      </c>
      <c r="C1231" t="s">
        <v>6</v>
      </c>
    </row>
    <row r="1232" spans="1:6" x14ac:dyDescent="0.25">
      <c r="A1232" s="5" t="s">
        <v>8</v>
      </c>
    </row>
    <row r="1233" spans="1:8" x14ac:dyDescent="0.25">
      <c r="A1233" t="str" cm="1">
        <f t="array" aca="1" ref="A1233" ca="1">"aN_WS_1_" &amp; INDIRECT("F" &amp; ROW(C1233)-6) &amp; "_p"</f>
        <v>aN_WS_1_9_2_p</v>
      </c>
      <c r="B1233">
        <v>0</v>
      </c>
      <c r="C1233" t="s">
        <v>4</v>
      </c>
    </row>
    <row r="1234" spans="1:8" x14ac:dyDescent="0.25">
      <c r="A1234" t="str" cm="1">
        <f t="array" aca="1" ref="A1234" ca="1">"aN_WS_2_" &amp; INDIRECT("F" &amp; ROW(C1234)-7) &amp; "_p"</f>
        <v>aN_WS_2_9_2_p</v>
      </c>
      <c r="B1234">
        <v>0</v>
      </c>
      <c r="C1234" t="s">
        <v>5</v>
      </c>
    </row>
    <row r="1235" spans="1:8" x14ac:dyDescent="0.25">
      <c r="A1235" t="str" cm="1">
        <f t="array" aca="1" ref="A1235" ca="1">"aN_WS_3_" &amp; INDIRECT("F" &amp; ROW(C1235)-8) &amp; "_p"</f>
        <v>aN_WS_3_9_2_p</v>
      </c>
      <c r="B1235">
        <v>2</v>
      </c>
      <c r="C1235" t="s">
        <v>6</v>
      </c>
    </row>
    <row r="1236" spans="1:8" x14ac:dyDescent="0.25">
      <c r="A1236" s="5" t="s">
        <v>7</v>
      </c>
      <c r="F1236" s="27"/>
      <c r="G1236" s="27"/>
      <c r="H1236" s="27"/>
    </row>
    <row r="1237" spans="1:8" x14ac:dyDescent="0.25">
      <c r="A1237" t="str" cm="1">
        <f t="array" aca="1" ref="A1237" ca="1">"aN_PREC_1_" &amp; INDIRECT("F" &amp; ROW(C1237) - 10) &amp; "_p"</f>
        <v>aN_PREC_1_9_2_p</v>
      </c>
      <c r="B1237">
        <v>0</v>
      </c>
      <c r="C1237" t="s">
        <v>4</v>
      </c>
    </row>
    <row r="1238" spans="1:8" x14ac:dyDescent="0.25">
      <c r="A1238" t="str" cm="1">
        <f t="array" aca="1" ref="A1238" ca="1">"aN_PREC_2_" &amp; INDIRECT("F" &amp; ROW(C1238) - 11) &amp; "_p"</f>
        <v>aN_PREC_2_9_2_p</v>
      </c>
      <c r="B1238">
        <v>0</v>
      </c>
      <c r="C1238" t="s">
        <v>5</v>
      </c>
    </row>
    <row r="1239" spans="1:8" x14ac:dyDescent="0.25">
      <c r="A1239" t="str" cm="1">
        <f t="array" aca="1" ref="A1239" ca="1">"aN_PREC_3_" &amp; INDIRECT("F" &amp; ROW(C1239) - 12) &amp; "_p"</f>
        <v>aN_PREC_3_9_2_p</v>
      </c>
      <c r="B1239">
        <v>2</v>
      </c>
      <c r="C1239" t="s">
        <v>6</v>
      </c>
    </row>
    <row r="1240" spans="1:8" x14ac:dyDescent="0.25">
      <c r="A1240" s="5" t="s">
        <v>9</v>
      </c>
      <c r="F1240" s="27"/>
      <c r="G1240" s="27"/>
      <c r="H1240" s="27"/>
    </row>
    <row r="1241" spans="1:8" x14ac:dyDescent="0.25">
      <c r="A1241" t="str" cm="1">
        <f t="array" aca="1" ref="A1241" ca="1">"aN_SL_1_" &amp; INDIRECT("F" &amp; ROW(C1241) - 14) &amp; "_p"</f>
        <v>aN_SL_1_9_2_p</v>
      </c>
      <c r="B1241">
        <v>0</v>
      </c>
      <c r="C1241" t="s">
        <v>4</v>
      </c>
    </row>
    <row r="1242" spans="1:8" x14ac:dyDescent="0.25">
      <c r="A1242" t="str" cm="1">
        <f t="array" aca="1" ref="A1242" ca="1">"aN_SL_2_" &amp; INDIRECT("F" &amp; ROW(C1242) - 15) &amp; "_p"</f>
        <v>aN_SL_2_9_2_p</v>
      </c>
      <c r="B1242">
        <v>0</v>
      </c>
      <c r="C1242" t="s">
        <v>5</v>
      </c>
    </row>
    <row r="1243" spans="1:8" x14ac:dyDescent="0.25">
      <c r="A1243" t="str" cm="1">
        <f t="array" aca="1" ref="A1243" ca="1">"aN_SL_3_" &amp; INDIRECT("F" &amp; ROW(C1243) - 16) &amp; "_p"</f>
        <v>aN_SL_3_9_2_p</v>
      </c>
      <c r="B1243">
        <v>2</v>
      </c>
      <c r="C1243" t="s">
        <v>6</v>
      </c>
    </row>
    <row r="1244" spans="1:8" x14ac:dyDescent="0.25">
      <c r="A1244" s="5" t="s">
        <v>95</v>
      </c>
    </row>
    <row r="1245" spans="1:8" x14ac:dyDescent="0.25">
      <c r="A1245" t="str" cm="1">
        <f t="array" aca="1" ref="A1245" ca="1">"aN_DRO_1_" &amp; INDIRECT("F" &amp; ROW(C1245) - 18) &amp; "_p"</f>
        <v>aN_DRO_1_9_2_p</v>
      </c>
      <c r="B1245">
        <v>0.01</v>
      </c>
      <c r="C1245" t="s">
        <v>4</v>
      </c>
    </row>
    <row r="1246" spans="1:8" x14ac:dyDescent="0.25">
      <c r="A1246" t="str" cm="1">
        <f t="array" aca="1" ref="A1246" ca="1">"aN_DRO_2_" &amp; INDIRECT("F" &amp; ROW(C1246) - 19) &amp; "_p"</f>
        <v>aN_DRO_2_9_2_p</v>
      </c>
      <c r="B1246">
        <v>0</v>
      </c>
      <c r="C1246" t="s">
        <v>5</v>
      </c>
    </row>
    <row r="1247" spans="1:8" x14ac:dyDescent="0.25">
      <c r="A1247" t="str" cm="1">
        <f t="array" aca="1" ref="A1247" ca="1">"aN_DRO_3_" &amp; INDIRECT("F" &amp; ROW(C1247) - 20) &amp; "_p"</f>
        <v>aN_DRO_3_9_2_p</v>
      </c>
      <c r="B1247">
        <v>2</v>
      </c>
      <c r="C1247" t="s">
        <v>6</v>
      </c>
    </row>
    <row r="1248" spans="1:8" x14ac:dyDescent="0.25">
      <c r="A1248" s="5" t="s">
        <v>96</v>
      </c>
    </row>
    <row r="1249" spans="1:8" x14ac:dyDescent="0.25">
      <c r="A1249" t="str" cm="1">
        <f t="array" aca="1" ref="A1249" ca="1">"aN_CYC_1_" &amp; INDIRECT("F" &amp; ROW(C1249) - 22) &amp; "_p"</f>
        <v>aN_CYC_1_9_2_p</v>
      </c>
      <c r="B1249">
        <v>0</v>
      </c>
      <c r="C1249" t="s">
        <v>4</v>
      </c>
    </row>
    <row r="1250" spans="1:8" x14ac:dyDescent="0.25">
      <c r="A1250" t="str" cm="1">
        <f t="array" aca="1" ref="A1250" ca="1">"aN_CYC_2_" &amp; INDIRECT("F" &amp; ROW(C1250) - 23) &amp; "_p"</f>
        <v>aN_CYC_2_9_2_p</v>
      </c>
      <c r="B1250">
        <v>0</v>
      </c>
      <c r="C1250" t="s">
        <v>5</v>
      </c>
    </row>
    <row r="1251" spans="1:8" x14ac:dyDescent="0.25">
      <c r="A1251" t="str" cm="1">
        <f t="array" aca="1" ref="A1251" ca="1">"aN_CYC_3_" &amp; INDIRECT("F" &amp; ROW(C1251) - 24) &amp; "_p"</f>
        <v>aN_CYC_3_9_2_p</v>
      </c>
      <c r="B1251">
        <v>2</v>
      </c>
      <c r="C1251" t="s">
        <v>6</v>
      </c>
    </row>
    <row r="1252" spans="1:8" x14ac:dyDescent="0.25">
      <c r="A1252" s="26" t="str">
        <f>"sector " &amp; D1252 &amp; " and region " &amp;E1252</f>
        <v>sector 9 and region 3</v>
      </c>
      <c r="B1252" s="26"/>
      <c r="C1252" s="26"/>
      <c r="D1252" s="24">
        <v>9</v>
      </c>
      <c r="E1252" s="24">
        <v>3</v>
      </c>
      <c r="F1252" s="24" t="str">
        <f>D1252 &amp; "_" &amp; E1252</f>
        <v>9_3</v>
      </c>
    </row>
    <row r="1253" spans="1:8" x14ac:dyDescent="0.25">
      <c r="A1253" s="5" t="s">
        <v>3</v>
      </c>
    </row>
    <row r="1254" spans="1:8" x14ac:dyDescent="0.25">
      <c r="A1254" t="str" cm="1">
        <f t="array" aca="1" ref="A1254" ca="1">"aN_T_1_" &amp; INDIRECT("F" &amp; ROW(C1254)-2) &amp; "_p"</f>
        <v>aN_T_1_9_3_p</v>
      </c>
      <c r="B1254">
        <v>0</v>
      </c>
      <c r="C1254" t="s">
        <v>4</v>
      </c>
    </row>
    <row r="1255" spans="1:8" x14ac:dyDescent="0.25">
      <c r="A1255" t="str" cm="1">
        <f t="array" aca="1" ref="A1255" ca="1">"aN_T_2_" &amp; INDIRECT("F" &amp; ROW(C1255)-3) &amp; "_p"</f>
        <v>aN_T_2_9_3_p</v>
      </c>
      <c r="B1255">
        <v>0</v>
      </c>
      <c r="C1255" t="s">
        <v>5</v>
      </c>
    </row>
    <row r="1256" spans="1:8" x14ac:dyDescent="0.25">
      <c r="A1256" t="str" cm="1">
        <f t="array" aca="1" ref="A1256" ca="1">"aN_T_3_" &amp; INDIRECT("F" &amp; ROW(C1256)-4) &amp; "_p"</f>
        <v>aN_T_3_9_3_p</v>
      </c>
      <c r="B1256">
        <v>2</v>
      </c>
      <c r="C1256" t="s">
        <v>6</v>
      </c>
    </row>
    <row r="1257" spans="1:8" x14ac:dyDescent="0.25">
      <c r="A1257" s="5" t="s">
        <v>8</v>
      </c>
    </row>
    <row r="1258" spans="1:8" x14ac:dyDescent="0.25">
      <c r="A1258" t="str" cm="1">
        <f t="array" aca="1" ref="A1258" ca="1">"aN_WS_1_" &amp; INDIRECT("F" &amp; ROW(C1258)-6) &amp; "_p"</f>
        <v>aN_WS_1_9_3_p</v>
      </c>
      <c r="B1258">
        <v>0</v>
      </c>
      <c r="C1258" t="s">
        <v>4</v>
      </c>
    </row>
    <row r="1259" spans="1:8" x14ac:dyDescent="0.25">
      <c r="A1259" t="str" cm="1">
        <f t="array" aca="1" ref="A1259" ca="1">"aN_WS_2_" &amp; INDIRECT("F" &amp; ROW(C1259)-7) &amp; "_p"</f>
        <v>aN_WS_2_9_3_p</v>
      </c>
      <c r="B1259">
        <v>0</v>
      </c>
      <c r="C1259" t="s">
        <v>5</v>
      </c>
    </row>
    <row r="1260" spans="1:8" x14ac:dyDescent="0.25">
      <c r="A1260" t="str" cm="1">
        <f t="array" aca="1" ref="A1260" ca="1">"aN_WS_3_" &amp; INDIRECT("F" &amp; ROW(C1260)-8) &amp; "_p"</f>
        <v>aN_WS_3_9_3_p</v>
      </c>
      <c r="B1260">
        <v>2</v>
      </c>
      <c r="C1260" t="s">
        <v>6</v>
      </c>
    </row>
    <row r="1261" spans="1:8" x14ac:dyDescent="0.25">
      <c r="A1261" s="5" t="s">
        <v>7</v>
      </c>
      <c r="F1261" s="27"/>
      <c r="G1261" s="27"/>
      <c r="H1261" s="27"/>
    </row>
    <row r="1262" spans="1:8" x14ac:dyDescent="0.25">
      <c r="A1262" t="str" cm="1">
        <f t="array" aca="1" ref="A1262" ca="1">"aN_PREC_1_" &amp; INDIRECT("F" &amp; ROW(C1262) - 10) &amp; "_p"</f>
        <v>aN_PREC_1_9_3_p</v>
      </c>
      <c r="B1262">
        <v>0</v>
      </c>
      <c r="C1262" t="s">
        <v>4</v>
      </c>
    </row>
    <row r="1263" spans="1:8" x14ac:dyDescent="0.25">
      <c r="A1263" t="str" cm="1">
        <f t="array" aca="1" ref="A1263" ca="1">"aN_PREC_2_" &amp; INDIRECT("F" &amp; ROW(C1263) - 11) &amp; "_p"</f>
        <v>aN_PREC_2_9_3_p</v>
      </c>
      <c r="B1263">
        <v>0</v>
      </c>
      <c r="C1263" t="s">
        <v>5</v>
      </c>
    </row>
    <row r="1264" spans="1:8" x14ac:dyDescent="0.25">
      <c r="A1264" t="str" cm="1">
        <f t="array" aca="1" ref="A1264" ca="1">"aN_PREC_3_" &amp; INDIRECT("F" &amp; ROW(C1264) - 12) &amp; "_p"</f>
        <v>aN_PREC_3_9_3_p</v>
      </c>
      <c r="B1264">
        <v>2</v>
      </c>
      <c r="C1264" t="s">
        <v>6</v>
      </c>
    </row>
    <row r="1265" spans="1:8" x14ac:dyDescent="0.25">
      <c r="A1265" s="5" t="s">
        <v>9</v>
      </c>
      <c r="F1265" s="27"/>
      <c r="G1265" s="27"/>
      <c r="H1265" s="27"/>
    </row>
    <row r="1266" spans="1:8" x14ac:dyDescent="0.25">
      <c r="A1266" t="str" cm="1">
        <f t="array" aca="1" ref="A1266" ca="1">"aN_SL_1_" &amp; INDIRECT("F" &amp; ROW(C1266) - 14) &amp; "_p"</f>
        <v>aN_SL_1_9_3_p</v>
      </c>
      <c r="B1266">
        <v>0</v>
      </c>
      <c r="C1266" t="s">
        <v>4</v>
      </c>
    </row>
    <row r="1267" spans="1:8" x14ac:dyDescent="0.25">
      <c r="A1267" t="str" cm="1">
        <f t="array" aca="1" ref="A1267" ca="1">"aN_SL_2_" &amp; INDIRECT("F" &amp; ROW(C1267) - 15) &amp; "_p"</f>
        <v>aN_SL_2_9_3_p</v>
      </c>
      <c r="B1267">
        <v>0</v>
      </c>
      <c r="C1267" t="s">
        <v>5</v>
      </c>
    </row>
    <row r="1268" spans="1:8" x14ac:dyDescent="0.25">
      <c r="A1268" t="str" cm="1">
        <f t="array" aca="1" ref="A1268" ca="1">"aN_SL_3_" &amp; INDIRECT("F" &amp; ROW(C1268) - 16) &amp; "_p"</f>
        <v>aN_SL_3_9_3_p</v>
      </c>
      <c r="B1268">
        <v>2</v>
      </c>
      <c r="C1268" t="s">
        <v>6</v>
      </c>
    </row>
    <row r="1269" spans="1:8" x14ac:dyDescent="0.25">
      <c r="A1269" s="5" t="s">
        <v>95</v>
      </c>
    </row>
    <row r="1270" spans="1:8" x14ac:dyDescent="0.25">
      <c r="A1270" t="str" cm="1">
        <f t="array" aca="1" ref="A1270" ca="1">"aN_DRO_1_" &amp; INDIRECT("F" &amp; ROW(C1270) - 18) &amp; "_p"</f>
        <v>aN_DRO_1_9_3_p</v>
      </c>
      <c r="B1270">
        <v>0.01</v>
      </c>
      <c r="C1270" t="s">
        <v>4</v>
      </c>
    </row>
    <row r="1271" spans="1:8" x14ac:dyDescent="0.25">
      <c r="A1271" t="str" cm="1">
        <f t="array" aca="1" ref="A1271" ca="1">"aN_DRO_2_" &amp; INDIRECT("F" &amp; ROW(C1271) - 19) &amp; "_p"</f>
        <v>aN_DRO_2_9_3_p</v>
      </c>
      <c r="B1271">
        <v>0</v>
      </c>
      <c r="C1271" t="s">
        <v>5</v>
      </c>
    </row>
    <row r="1272" spans="1:8" x14ac:dyDescent="0.25">
      <c r="A1272" t="str" cm="1">
        <f t="array" aca="1" ref="A1272" ca="1">"aN_DRO_3_" &amp; INDIRECT("F" &amp; ROW(C1272) - 20) &amp; "_p"</f>
        <v>aN_DRO_3_9_3_p</v>
      </c>
      <c r="B1272">
        <v>2</v>
      </c>
      <c r="C1272" t="s">
        <v>6</v>
      </c>
    </row>
    <row r="1273" spans="1:8" x14ac:dyDescent="0.25">
      <c r="A1273" s="5" t="s">
        <v>96</v>
      </c>
    </row>
    <row r="1274" spans="1:8" x14ac:dyDescent="0.25">
      <c r="A1274" t="str" cm="1">
        <f t="array" aca="1" ref="A1274" ca="1">"aN_CYC_1_" &amp; INDIRECT("F" &amp; ROW(C1274) - 22) &amp; "_p"</f>
        <v>aN_CYC_1_9_3_p</v>
      </c>
      <c r="B1274">
        <v>0</v>
      </c>
      <c r="C1274" t="s">
        <v>4</v>
      </c>
    </row>
    <row r="1275" spans="1:8" x14ac:dyDescent="0.25">
      <c r="A1275" t="str" cm="1">
        <f t="array" aca="1" ref="A1275" ca="1">"aN_CYC_2_" &amp; INDIRECT("F" &amp; ROW(C1275) - 23) &amp; "_p"</f>
        <v>aN_CYC_2_9_3_p</v>
      </c>
      <c r="B1275">
        <v>0</v>
      </c>
      <c r="C1275" t="s">
        <v>5</v>
      </c>
    </row>
    <row r="1276" spans="1:8" x14ac:dyDescent="0.25">
      <c r="A1276" t="str" cm="1">
        <f t="array" aca="1" ref="A1276" ca="1">"aN_CYC_3_" &amp; INDIRECT("F" &amp; ROW(C1276) - 24) &amp; "_p"</f>
        <v>aN_CYC_3_9_3_p</v>
      </c>
      <c r="B1276">
        <v>2</v>
      </c>
      <c r="C1276" t="s">
        <v>6</v>
      </c>
    </row>
    <row r="1277" spans="1:8" x14ac:dyDescent="0.25">
      <c r="A1277" s="26" t="str">
        <f>"sector " &amp; D1277 &amp; " and region " &amp;E1277</f>
        <v>sector 9 and region 4</v>
      </c>
      <c r="B1277" s="26"/>
      <c r="C1277" s="26"/>
      <c r="D1277" s="24">
        <v>9</v>
      </c>
      <c r="E1277" s="24">
        <v>4</v>
      </c>
      <c r="F1277" s="24" t="str">
        <f>D1277 &amp; "_" &amp; E1277</f>
        <v>9_4</v>
      </c>
    </row>
    <row r="1278" spans="1:8" x14ac:dyDescent="0.25">
      <c r="A1278" s="5" t="s">
        <v>3</v>
      </c>
    </row>
    <row r="1279" spans="1:8" x14ac:dyDescent="0.25">
      <c r="A1279" t="str" cm="1">
        <f t="array" aca="1" ref="A1279" ca="1">"aN_T_1_" &amp; INDIRECT("F" &amp; ROW(C1279)-2) &amp; "_p"</f>
        <v>aN_T_1_9_4_p</v>
      </c>
      <c r="B1279">
        <v>0</v>
      </c>
      <c r="C1279" t="s">
        <v>4</v>
      </c>
    </row>
    <row r="1280" spans="1:8" x14ac:dyDescent="0.25">
      <c r="A1280" t="str" cm="1">
        <f t="array" aca="1" ref="A1280" ca="1">"aN_T_2_" &amp; INDIRECT("F" &amp; ROW(C1280)-3) &amp; "_p"</f>
        <v>aN_T_2_9_4_p</v>
      </c>
      <c r="B1280">
        <v>0</v>
      </c>
      <c r="C1280" t="s">
        <v>5</v>
      </c>
    </row>
    <row r="1281" spans="1:8" x14ac:dyDescent="0.25">
      <c r="A1281" t="str" cm="1">
        <f t="array" aca="1" ref="A1281" ca="1">"aN_T_3_" &amp; INDIRECT("F" &amp; ROW(C1281)-4) &amp; "_p"</f>
        <v>aN_T_3_9_4_p</v>
      </c>
      <c r="B1281">
        <v>2</v>
      </c>
      <c r="C1281" t="s">
        <v>6</v>
      </c>
    </row>
    <row r="1282" spans="1:8" x14ac:dyDescent="0.25">
      <c r="A1282" s="5" t="s">
        <v>8</v>
      </c>
    </row>
    <row r="1283" spans="1:8" x14ac:dyDescent="0.25">
      <c r="A1283" t="str" cm="1">
        <f t="array" aca="1" ref="A1283" ca="1">"aN_WS_1_" &amp; INDIRECT("F" &amp; ROW(C1283)-6) &amp; "_p"</f>
        <v>aN_WS_1_9_4_p</v>
      </c>
      <c r="B1283">
        <v>0</v>
      </c>
      <c r="C1283" t="s">
        <v>4</v>
      </c>
    </row>
    <row r="1284" spans="1:8" x14ac:dyDescent="0.25">
      <c r="A1284" t="str" cm="1">
        <f t="array" aca="1" ref="A1284" ca="1">"aN_WS_2_" &amp; INDIRECT("F" &amp; ROW(C1284)-7) &amp; "_p"</f>
        <v>aN_WS_2_9_4_p</v>
      </c>
      <c r="B1284">
        <v>0</v>
      </c>
      <c r="C1284" t="s">
        <v>5</v>
      </c>
    </row>
    <row r="1285" spans="1:8" x14ac:dyDescent="0.25">
      <c r="A1285" t="str" cm="1">
        <f t="array" aca="1" ref="A1285" ca="1">"aN_WS_3_" &amp; INDIRECT("F" &amp; ROW(C1285)-8) &amp; "_p"</f>
        <v>aN_WS_3_9_4_p</v>
      </c>
      <c r="B1285">
        <v>2</v>
      </c>
      <c r="C1285" t="s">
        <v>6</v>
      </c>
    </row>
    <row r="1286" spans="1:8" x14ac:dyDescent="0.25">
      <c r="A1286" s="5" t="s">
        <v>7</v>
      </c>
      <c r="F1286" s="27"/>
      <c r="G1286" s="27"/>
      <c r="H1286" s="27"/>
    </row>
    <row r="1287" spans="1:8" x14ac:dyDescent="0.25">
      <c r="A1287" t="str" cm="1">
        <f t="array" aca="1" ref="A1287" ca="1">"aN_PREC_1_" &amp; INDIRECT("F" &amp; ROW(C1287) - 10) &amp; "_p"</f>
        <v>aN_PREC_1_9_4_p</v>
      </c>
      <c r="B1287">
        <v>0</v>
      </c>
      <c r="C1287" t="s">
        <v>4</v>
      </c>
    </row>
    <row r="1288" spans="1:8" x14ac:dyDescent="0.25">
      <c r="A1288" t="str" cm="1">
        <f t="array" aca="1" ref="A1288" ca="1">"aN_PREC_2_" &amp; INDIRECT("F" &amp; ROW(C1288) - 11) &amp; "_p"</f>
        <v>aN_PREC_2_9_4_p</v>
      </c>
      <c r="B1288">
        <v>0</v>
      </c>
      <c r="C1288" t="s">
        <v>5</v>
      </c>
    </row>
    <row r="1289" spans="1:8" x14ac:dyDescent="0.25">
      <c r="A1289" t="str" cm="1">
        <f t="array" aca="1" ref="A1289" ca="1">"aN_PREC_3_" &amp; INDIRECT("F" &amp; ROW(C1289) - 12) &amp; "_p"</f>
        <v>aN_PREC_3_9_4_p</v>
      </c>
      <c r="B1289">
        <v>2</v>
      </c>
      <c r="C1289" t="s">
        <v>6</v>
      </c>
    </row>
    <row r="1290" spans="1:8" x14ac:dyDescent="0.25">
      <c r="A1290" s="5" t="s">
        <v>9</v>
      </c>
      <c r="F1290" s="27"/>
      <c r="G1290" s="27"/>
      <c r="H1290" s="27"/>
    </row>
    <row r="1291" spans="1:8" x14ac:dyDescent="0.25">
      <c r="A1291" t="str" cm="1">
        <f t="array" aca="1" ref="A1291" ca="1">"aN_SL_1_" &amp; INDIRECT("F" &amp; ROW(C1291) - 14) &amp; "_p"</f>
        <v>aN_SL_1_9_4_p</v>
      </c>
      <c r="B1291">
        <v>0</v>
      </c>
      <c r="C1291" t="s">
        <v>4</v>
      </c>
    </row>
    <row r="1292" spans="1:8" x14ac:dyDescent="0.25">
      <c r="A1292" t="str" cm="1">
        <f t="array" aca="1" ref="A1292" ca="1">"aN_SL_2_" &amp; INDIRECT("F" &amp; ROW(C1292) - 15) &amp; "_p"</f>
        <v>aN_SL_2_9_4_p</v>
      </c>
      <c r="B1292">
        <v>0</v>
      </c>
      <c r="C1292" t="s">
        <v>5</v>
      </c>
    </row>
    <row r="1293" spans="1:8" x14ac:dyDescent="0.25">
      <c r="A1293" t="str" cm="1">
        <f t="array" aca="1" ref="A1293" ca="1">"aN_SL_3_" &amp; INDIRECT("F" &amp; ROW(C1293) - 16) &amp; "_p"</f>
        <v>aN_SL_3_9_4_p</v>
      </c>
      <c r="B1293">
        <v>2</v>
      </c>
      <c r="C1293" t="s">
        <v>6</v>
      </c>
    </row>
    <row r="1294" spans="1:8" x14ac:dyDescent="0.25">
      <c r="A1294" s="5" t="s">
        <v>95</v>
      </c>
    </row>
    <row r="1295" spans="1:8" x14ac:dyDescent="0.25">
      <c r="A1295" t="str" cm="1">
        <f t="array" aca="1" ref="A1295" ca="1">"aN_DRO_1_" &amp; INDIRECT("F" &amp; ROW(C1295) - 18) &amp; "_p"</f>
        <v>aN_DRO_1_9_4_p</v>
      </c>
      <c r="B1295">
        <v>0.01</v>
      </c>
      <c r="C1295" t="s">
        <v>4</v>
      </c>
    </row>
    <row r="1296" spans="1:8" x14ac:dyDescent="0.25">
      <c r="A1296" t="str" cm="1">
        <f t="array" aca="1" ref="A1296" ca="1">"aN_DRO_2_" &amp; INDIRECT("F" &amp; ROW(C1296) - 19) &amp; "_p"</f>
        <v>aN_DRO_2_9_4_p</v>
      </c>
      <c r="B1296">
        <v>0</v>
      </c>
      <c r="C1296" t="s">
        <v>5</v>
      </c>
    </row>
    <row r="1297" spans="1:8" x14ac:dyDescent="0.25">
      <c r="A1297" t="str" cm="1">
        <f t="array" aca="1" ref="A1297" ca="1">"aN_DRO_3_" &amp; INDIRECT("F" &amp; ROW(C1297) - 20) &amp; "_p"</f>
        <v>aN_DRO_3_9_4_p</v>
      </c>
      <c r="B1297">
        <v>2</v>
      </c>
      <c r="C1297" t="s">
        <v>6</v>
      </c>
    </row>
    <row r="1298" spans="1:8" x14ac:dyDescent="0.25">
      <c r="A1298" s="5" t="s">
        <v>96</v>
      </c>
    </row>
    <row r="1299" spans="1:8" x14ac:dyDescent="0.25">
      <c r="A1299" t="str" cm="1">
        <f t="array" aca="1" ref="A1299" ca="1">"aN_CYC_1_" &amp; INDIRECT("F" &amp; ROW(C1299) - 22) &amp; "_p"</f>
        <v>aN_CYC_1_9_4_p</v>
      </c>
      <c r="B1299">
        <v>0</v>
      </c>
      <c r="C1299" t="s">
        <v>4</v>
      </c>
    </row>
    <row r="1300" spans="1:8" x14ac:dyDescent="0.25">
      <c r="A1300" t="str" cm="1">
        <f t="array" aca="1" ref="A1300" ca="1">"aN_CYC_2_" &amp; INDIRECT("F" &amp; ROW(C1300) - 23) &amp; "_p"</f>
        <v>aN_CYC_2_9_4_p</v>
      </c>
      <c r="B1300">
        <v>0</v>
      </c>
      <c r="C1300" t="s">
        <v>5</v>
      </c>
    </row>
    <row r="1301" spans="1:8" x14ac:dyDescent="0.25">
      <c r="A1301" t="str" cm="1">
        <f t="array" aca="1" ref="A1301" ca="1">"aN_CYC_3_" &amp; INDIRECT("F" &amp; ROW(C1301) - 24) &amp; "_p"</f>
        <v>aN_CYC_3_9_4_p</v>
      </c>
      <c r="B1301">
        <v>2</v>
      </c>
      <c r="C1301" t="s">
        <v>6</v>
      </c>
    </row>
    <row r="1302" spans="1:8" x14ac:dyDescent="0.25">
      <c r="A1302" s="26" t="str">
        <f>"sector " &amp; D1302 &amp; " and region " &amp;E1302</f>
        <v>sector 9 and region 5</v>
      </c>
      <c r="B1302" s="26"/>
      <c r="C1302" s="26"/>
      <c r="D1302" s="24">
        <v>9</v>
      </c>
      <c r="E1302" s="24">
        <v>5</v>
      </c>
      <c r="F1302" s="24" t="str">
        <f>D1302 &amp; "_" &amp; E1302</f>
        <v>9_5</v>
      </c>
    </row>
    <row r="1303" spans="1:8" x14ac:dyDescent="0.25">
      <c r="A1303" s="5" t="s">
        <v>3</v>
      </c>
    </row>
    <row r="1304" spans="1:8" x14ac:dyDescent="0.25">
      <c r="A1304" t="str" cm="1">
        <f t="array" aca="1" ref="A1304" ca="1">"aN_T_1_" &amp; INDIRECT("F" &amp; ROW(C1304)-2) &amp; "_p"</f>
        <v>aN_T_1_9_5_p</v>
      </c>
      <c r="B1304">
        <v>0</v>
      </c>
      <c r="C1304" t="s">
        <v>4</v>
      </c>
    </row>
    <row r="1305" spans="1:8" x14ac:dyDescent="0.25">
      <c r="A1305" t="str" cm="1">
        <f t="array" aca="1" ref="A1305" ca="1">"aN_T_2_" &amp; INDIRECT("F" &amp; ROW(C1305)-3) &amp; "_p"</f>
        <v>aN_T_2_9_5_p</v>
      </c>
      <c r="B1305">
        <v>0</v>
      </c>
      <c r="C1305" t="s">
        <v>5</v>
      </c>
    </row>
    <row r="1306" spans="1:8" x14ac:dyDescent="0.25">
      <c r="A1306" t="str" cm="1">
        <f t="array" aca="1" ref="A1306" ca="1">"aN_T_3_" &amp; INDIRECT("F" &amp; ROW(C1306)-4) &amp; "_p"</f>
        <v>aN_T_3_9_5_p</v>
      </c>
      <c r="B1306">
        <v>2</v>
      </c>
      <c r="C1306" t="s">
        <v>6</v>
      </c>
    </row>
    <row r="1307" spans="1:8" x14ac:dyDescent="0.25">
      <c r="A1307" s="5" t="s">
        <v>8</v>
      </c>
    </row>
    <row r="1308" spans="1:8" x14ac:dyDescent="0.25">
      <c r="A1308" t="str" cm="1">
        <f t="array" aca="1" ref="A1308" ca="1">"aN_WS_1_" &amp; INDIRECT("F" &amp; ROW(C1308)-6) &amp; "_p"</f>
        <v>aN_WS_1_9_5_p</v>
      </c>
      <c r="B1308">
        <v>0</v>
      </c>
      <c r="C1308" t="s">
        <v>4</v>
      </c>
    </row>
    <row r="1309" spans="1:8" x14ac:dyDescent="0.25">
      <c r="A1309" t="str" cm="1">
        <f t="array" aca="1" ref="A1309" ca="1">"aN_WS_2_" &amp; INDIRECT("F" &amp; ROW(C1309)-7) &amp; "_p"</f>
        <v>aN_WS_2_9_5_p</v>
      </c>
      <c r="B1309">
        <v>0</v>
      </c>
      <c r="C1309" t="s">
        <v>5</v>
      </c>
    </row>
    <row r="1310" spans="1:8" x14ac:dyDescent="0.25">
      <c r="A1310" t="str" cm="1">
        <f t="array" aca="1" ref="A1310" ca="1">"aN_WS_3_" &amp; INDIRECT("F" &amp; ROW(C1310)-8) &amp; "_p"</f>
        <v>aN_WS_3_9_5_p</v>
      </c>
      <c r="B1310">
        <v>2</v>
      </c>
      <c r="C1310" t="s">
        <v>6</v>
      </c>
    </row>
    <row r="1311" spans="1:8" x14ac:dyDescent="0.25">
      <c r="A1311" s="5" t="s">
        <v>7</v>
      </c>
      <c r="F1311" s="27"/>
      <c r="G1311" s="27"/>
      <c r="H1311" s="27"/>
    </row>
    <row r="1312" spans="1:8" x14ac:dyDescent="0.25">
      <c r="A1312" t="str" cm="1">
        <f t="array" aca="1" ref="A1312" ca="1">"aN_PREC_1_" &amp; INDIRECT("F" &amp; ROW(C1312) - 10) &amp; "_p"</f>
        <v>aN_PREC_1_9_5_p</v>
      </c>
      <c r="B1312">
        <v>0</v>
      </c>
      <c r="C1312" t="s">
        <v>4</v>
      </c>
    </row>
    <row r="1313" spans="1:8" x14ac:dyDescent="0.25">
      <c r="A1313" t="str" cm="1">
        <f t="array" aca="1" ref="A1313" ca="1">"aN_PREC_2_" &amp; INDIRECT("F" &amp; ROW(C1313) - 11) &amp; "_p"</f>
        <v>aN_PREC_2_9_5_p</v>
      </c>
      <c r="B1313">
        <v>0</v>
      </c>
      <c r="C1313" t="s">
        <v>5</v>
      </c>
    </row>
    <row r="1314" spans="1:8" x14ac:dyDescent="0.25">
      <c r="A1314" t="str" cm="1">
        <f t="array" aca="1" ref="A1314" ca="1">"aN_PREC_3_" &amp; INDIRECT("F" &amp; ROW(C1314) - 12) &amp; "_p"</f>
        <v>aN_PREC_3_9_5_p</v>
      </c>
      <c r="B1314">
        <v>2</v>
      </c>
      <c r="C1314" t="s">
        <v>6</v>
      </c>
    </row>
    <row r="1315" spans="1:8" x14ac:dyDescent="0.25">
      <c r="A1315" s="5" t="s">
        <v>9</v>
      </c>
      <c r="F1315" s="27"/>
      <c r="G1315" s="27"/>
      <c r="H1315" s="27"/>
    </row>
    <row r="1316" spans="1:8" x14ac:dyDescent="0.25">
      <c r="A1316" t="str" cm="1">
        <f t="array" aca="1" ref="A1316" ca="1">"aN_SL_1_" &amp; INDIRECT("F" &amp; ROW(C1316) - 14) &amp; "_p"</f>
        <v>aN_SL_1_9_5_p</v>
      </c>
      <c r="B1316">
        <v>0</v>
      </c>
      <c r="C1316" t="s">
        <v>4</v>
      </c>
    </row>
    <row r="1317" spans="1:8" x14ac:dyDescent="0.25">
      <c r="A1317" t="str" cm="1">
        <f t="array" aca="1" ref="A1317" ca="1">"aN_SL_2_" &amp; INDIRECT("F" &amp; ROW(C1317) - 15) &amp; "_p"</f>
        <v>aN_SL_2_9_5_p</v>
      </c>
      <c r="B1317">
        <v>0</v>
      </c>
      <c r="C1317" t="s">
        <v>5</v>
      </c>
    </row>
    <row r="1318" spans="1:8" x14ac:dyDescent="0.25">
      <c r="A1318" t="str" cm="1">
        <f t="array" aca="1" ref="A1318" ca="1">"aN_SL_3_" &amp; INDIRECT("F" &amp; ROW(C1318) - 16) &amp; "_p"</f>
        <v>aN_SL_3_9_5_p</v>
      </c>
      <c r="B1318">
        <v>2</v>
      </c>
      <c r="C1318" t="s">
        <v>6</v>
      </c>
    </row>
    <row r="1319" spans="1:8" x14ac:dyDescent="0.25">
      <c r="A1319" s="5" t="s">
        <v>95</v>
      </c>
    </row>
    <row r="1320" spans="1:8" x14ac:dyDescent="0.25">
      <c r="A1320" t="str" cm="1">
        <f t="array" aca="1" ref="A1320" ca="1">"aN_DRO_1_" &amp; INDIRECT("F" &amp; ROW(C1320) - 18) &amp; "_p"</f>
        <v>aN_DRO_1_9_5_p</v>
      </c>
      <c r="B1320">
        <v>0.01</v>
      </c>
      <c r="C1320" t="s">
        <v>4</v>
      </c>
    </row>
    <row r="1321" spans="1:8" x14ac:dyDescent="0.25">
      <c r="A1321" t="str" cm="1">
        <f t="array" aca="1" ref="A1321" ca="1">"aN_DRO_2_" &amp; INDIRECT("F" &amp; ROW(C1321) - 19) &amp; "_p"</f>
        <v>aN_DRO_2_9_5_p</v>
      </c>
      <c r="B1321">
        <v>0</v>
      </c>
      <c r="C1321" t="s">
        <v>5</v>
      </c>
    </row>
    <row r="1322" spans="1:8" x14ac:dyDescent="0.25">
      <c r="A1322" t="str" cm="1">
        <f t="array" aca="1" ref="A1322" ca="1">"aN_DRO_3_" &amp; INDIRECT("F" &amp; ROW(C1322) - 20) &amp; "_p"</f>
        <v>aN_DRO_3_9_5_p</v>
      </c>
      <c r="B1322">
        <v>2</v>
      </c>
      <c r="C1322" t="s">
        <v>6</v>
      </c>
    </row>
    <row r="1323" spans="1:8" x14ac:dyDescent="0.25">
      <c r="A1323" s="5" t="s">
        <v>96</v>
      </c>
    </row>
    <row r="1324" spans="1:8" x14ac:dyDescent="0.25">
      <c r="A1324" t="str" cm="1">
        <f t="array" aca="1" ref="A1324" ca="1">"aN_CYC_1_" &amp; INDIRECT("F" &amp; ROW(C1324) - 22) &amp; "_p"</f>
        <v>aN_CYC_1_9_5_p</v>
      </c>
      <c r="B1324">
        <v>0</v>
      </c>
      <c r="C1324" t="s">
        <v>4</v>
      </c>
    </row>
    <row r="1325" spans="1:8" x14ac:dyDescent="0.25">
      <c r="A1325" t="str" cm="1">
        <f t="array" aca="1" ref="A1325" ca="1">"aN_CYC_2_" &amp; INDIRECT("F" &amp; ROW(C1325) - 23) &amp; "_p"</f>
        <v>aN_CYC_2_9_5_p</v>
      </c>
      <c r="B1325">
        <v>0</v>
      </c>
      <c r="C1325" t="s">
        <v>5</v>
      </c>
    </row>
    <row r="1326" spans="1:8" x14ac:dyDescent="0.25">
      <c r="A1326" t="str" cm="1">
        <f t="array" aca="1" ref="A1326" ca="1">"aN_CYC_3_" &amp; INDIRECT("F" &amp; ROW(C1326) - 24) &amp; "_p"</f>
        <v>aN_CYC_3_9_5_p</v>
      </c>
      <c r="B1326">
        <v>2</v>
      </c>
      <c r="C1326" t="s">
        <v>6</v>
      </c>
    </row>
    <row r="1327" spans="1:8" x14ac:dyDescent="0.25">
      <c r="A1327" s="26" t="str">
        <f>"sector " &amp; D1327 &amp; " and region " &amp;E1327</f>
        <v>sector 9 and region 6</v>
      </c>
      <c r="B1327" s="26"/>
      <c r="C1327" s="26"/>
      <c r="D1327" s="24">
        <v>9</v>
      </c>
      <c r="E1327" s="24">
        <v>6</v>
      </c>
      <c r="F1327" s="24" t="str">
        <f>D1327 &amp; "_" &amp; E1327</f>
        <v>9_6</v>
      </c>
    </row>
    <row r="1328" spans="1:8" x14ac:dyDescent="0.25">
      <c r="A1328" s="5" t="s">
        <v>3</v>
      </c>
    </row>
    <row r="1329" spans="1:8" x14ac:dyDescent="0.25">
      <c r="A1329" t="str" cm="1">
        <f t="array" aca="1" ref="A1329" ca="1">"aN_T_1_" &amp; INDIRECT("F" &amp; ROW(C1329)-2) &amp; "_p"</f>
        <v>aN_T_1_9_6_p</v>
      </c>
      <c r="B1329">
        <v>0</v>
      </c>
      <c r="C1329" t="s">
        <v>4</v>
      </c>
    </row>
    <row r="1330" spans="1:8" x14ac:dyDescent="0.25">
      <c r="A1330" t="str" cm="1">
        <f t="array" aca="1" ref="A1330" ca="1">"aN_T_2_" &amp; INDIRECT("F" &amp; ROW(C1330)-3) &amp; "_p"</f>
        <v>aN_T_2_9_6_p</v>
      </c>
      <c r="B1330">
        <v>0</v>
      </c>
      <c r="C1330" t="s">
        <v>5</v>
      </c>
    </row>
    <row r="1331" spans="1:8" x14ac:dyDescent="0.25">
      <c r="A1331" t="str" cm="1">
        <f t="array" aca="1" ref="A1331" ca="1">"aN_T_3_" &amp; INDIRECT("F" &amp; ROW(C1331)-4) &amp; "_p"</f>
        <v>aN_T_3_9_6_p</v>
      </c>
      <c r="B1331">
        <v>2</v>
      </c>
      <c r="C1331" t="s">
        <v>6</v>
      </c>
    </row>
    <row r="1332" spans="1:8" x14ac:dyDescent="0.25">
      <c r="A1332" s="5" t="s">
        <v>8</v>
      </c>
    </row>
    <row r="1333" spans="1:8" x14ac:dyDescent="0.25">
      <c r="A1333" t="str" cm="1">
        <f t="array" aca="1" ref="A1333" ca="1">"aN_WS_1_" &amp; INDIRECT("F" &amp; ROW(C1333)-6) &amp; "_p"</f>
        <v>aN_WS_1_9_6_p</v>
      </c>
      <c r="B1333">
        <v>0</v>
      </c>
      <c r="C1333" t="s">
        <v>4</v>
      </c>
    </row>
    <row r="1334" spans="1:8" x14ac:dyDescent="0.25">
      <c r="A1334" t="str" cm="1">
        <f t="array" aca="1" ref="A1334" ca="1">"aN_WS_2_" &amp; INDIRECT("F" &amp; ROW(C1334)-7) &amp; "_p"</f>
        <v>aN_WS_2_9_6_p</v>
      </c>
      <c r="B1334">
        <v>0</v>
      </c>
      <c r="C1334" t="s">
        <v>5</v>
      </c>
    </row>
    <row r="1335" spans="1:8" x14ac:dyDescent="0.25">
      <c r="A1335" t="str" cm="1">
        <f t="array" aca="1" ref="A1335" ca="1">"aN_WS_3_" &amp; INDIRECT("F" &amp; ROW(C1335)-8) &amp; "_p"</f>
        <v>aN_WS_3_9_6_p</v>
      </c>
      <c r="B1335">
        <v>2</v>
      </c>
      <c r="C1335" t="s">
        <v>6</v>
      </c>
    </row>
    <row r="1336" spans="1:8" x14ac:dyDescent="0.25">
      <c r="A1336" s="5" t="s">
        <v>7</v>
      </c>
      <c r="F1336" s="27"/>
      <c r="G1336" s="27"/>
      <c r="H1336" s="27"/>
    </row>
    <row r="1337" spans="1:8" x14ac:dyDescent="0.25">
      <c r="A1337" t="str" cm="1">
        <f t="array" aca="1" ref="A1337" ca="1">"aN_PREC_1_" &amp; INDIRECT("F" &amp; ROW(C1337) - 10) &amp; "_p"</f>
        <v>aN_PREC_1_9_6_p</v>
      </c>
      <c r="B1337">
        <v>0</v>
      </c>
      <c r="C1337" t="s">
        <v>4</v>
      </c>
    </row>
    <row r="1338" spans="1:8" x14ac:dyDescent="0.25">
      <c r="A1338" t="str" cm="1">
        <f t="array" aca="1" ref="A1338" ca="1">"aN_PREC_2_" &amp; INDIRECT("F" &amp; ROW(C1338) - 11) &amp; "_p"</f>
        <v>aN_PREC_2_9_6_p</v>
      </c>
      <c r="B1338">
        <v>0</v>
      </c>
      <c r="C1338" t="s">
        <v>5</v>
      </c>
    </row>
    <row r="1339" spans="1:8" x14ac:dyDescent="0.25">
      <c r="A1339" t="str" cm="1">
        <f t="array" aca="1" ref="A1339" ca="1">"aN_PREC_3_" &amp; INDIRECT("F" &amp; ROW(C1339) - 12) &amp; "_p"</f>
        <v>aN_PREC_3_9_6_p</v>
      </c>
      <c r="B1339">
        <v>2</v>
      </c>
      <c r="C1339" t="s">
        <v>6</v>
      </c>
    </row>
    <row r="1340" spans="1:8" x14ac:dyDescent="0.25">
      <c r="A1340" s="5" t="s">
        <v>9</v>
      </c>
      <c r="F1340" s="27"/>
      <c r="G1340" s="27"/>
      <c r="H1340" s="27"/>
    </row>
    <row r="1341" spans="1:8" x14ac:dyDescent="0.25">
      <c r="A1341" t="str" cm="1">
        <f t="array" aca="1" ref="A1341" ca="1">"aN_SL_1_" &amp; INDIRECT("F" &amp; ROW(C1341) - 14) &amp; "_p"</f>
        <v>aN_SL_1_9_6_p</v>
      </c>
      <c r="B1341">
        <v>0</v>
      </c>
      <c r="C1341" t="s">
        <v>4</v>
      </c>
    </row>
    <row r="1342" spans="1:8" x14ac:dyDescent="0.25">
      <c r="A1342" t="str" cm="1">
        <f t="array" aca="1" ref="A1342" ca="1">"aN_SL_2_" &amp; INDIRECT("F" &amp; ROW(C1342) - 15) &amp; "_p"</f>
        <v>aN_SL_2_9_6_p</v>
      </c>
      <c r="B1342">
        <v>0</v>
      </c>
      <c r="C1342" t="s">
        <v>5</v>
      </c>
    </row>
    <row r="1343" spans="1:8" x14ac:dyDescent="0.25">
      <c r="A1343" t="str" cm="1">
        <f t="array" aca="1" ref="A1343" ca="1">"aN_SL_3_" &amp; INDIRECT("F" &amp; ROW(C1343) - 16) &amp; "_p"</f>
        <v>aN_SL_3_9_6_p</v>
      </c>
      <c r="B1343">
        <v>2</v>
      </c>
      <c r="C1343" t="s">
        <v>6</v>
      </c>
    </row>
    <row r="1344" spans="1:8" x14ac:dyDescent="0.25">
      <c r="A1344" s="5" t="s">
        <v>95</v>
      </c>
    </row>
    <row r="1345" spans="1:3" x14ac:dyDescent="0.25">
      <c r="A1345" t="str" cm="1">
        <f t="array" aca="1" ref="A1345" ca="1">"aN_DRO_1_" &amp; INDIRECT("F" &amp; ROW(C1345) - 18) &amp; "_p"</f>
        <v>aN_DRO_1_9_6_p</v>
      </c>
      <c r="B1345">
        <v>0.01</v>
      </c>
      <c r="C1345" t="s">
        <v>4</v>
      </c>
    </row>
    <row r="1346" spans="1:3" x14ac:dyDescent="0.25">
      <c r="A1346" t="str" cm="1">
        <f t="array" aca="1" ref="A1346" ca="1">"aN_DRO_2_" &amp; INDIRECT("F" &amp; ROW(C1346) - 19) &amp; "_p"</f>
        <v>aN_DRO_2_9_6_p</v>
      </c>
      <c r="B1346">
        <v>0</v>
      </c>
      <c r="C1346" t="s">
        <v>5</v>
      </c>
    </row>
    <row r="1347" spans="1:3" x14ac:dyDescent="0.25">
      <c r="A1347" t="str" cm="1">
        <f t="array" aca="1" ref="A1347" ca="1">"aN_DRO_3_" &amp; INDIRECT("F" &amp; ROW(C1347) - 20) &amp; "_p"</f>
        <v>aN_DRO_3_9_6_p</v>
      </c>
      <c r="B1347">
        <v>2</v>
      </c>
      <c r="C1347" t="s">
        <v>6</v>
      </c>
    </row>
    <row r="1348" spans="1:3" x14ac:dyDescent="0.25">
      <c r="A1348" s="5" t="s">
        <v>96</v>
      </c>
    </row>
    <row r="1349" spans="1:3" x14ac:dyDescent="0.25">
      <c r="A1349" t="str" cm="1">
        <f t="array" aca="1" ref="A1349" ca="1">"aN_CYC_1_" &amp; INDIRECT("F" &amp; ROW(C1349) - 22) &amp; "_p"</f>
        <v>aN_CYC_1_9_6_p</v>
      </c>
      <c r="B1349">
        <v>0</v>
      </c>
      <c r="C1349" t="s">
        <v>4</v>
      </c>
    </row>
    <row r="1350" spans="1:3" x14ac:dyDescent="0.25">
      <c r="A1350" t="str" cm="1">
        <f t="array" aca="1" ref="A1350" ca="1">"aN_CYC_2_" &amp; INDIRECT("F" &amp; ROW(C1350) - 23) &amp; "_p"</f>
        <v>aN_CYC_2_9_6_p</v>
      </c>
      <c r="B1350">
        <v>0</v>
      </c>
      <c r="C1350" t="s">
        <v>5</v>
      </c>
    </row>
    <row r="1351" spans="1:3" x14ac:dyDescent="0.25">
      <c r="A1351" t="str" cm="1">
        <f t="array" aca="1" ref="A1351" ca="1">"aN_CYC_3_" &amp; INDIRECT("F" &amp; ROW(C1351) - 24) &amp; "_p"</f>
        <v>aN_CYC_3_9_6_p</v>
      </c>
      <c r="B1351">
        <v>2</v>
      </c>
      <c r="C1351" t="s">
        <v>6</v>
      </c>
    </row>
  </sheetData>
  <mergeCells count="159">
    <mergeCell ref="A1177:C1177"/>
    <mergeCell ref="F1186:H1186"/>
    <mergeCell ref="F1190:H1190"/>
    <mergeCell ref="A1127:C1127"/>
    <mergeCell ref="F1136:H1136"/>
    <mergeCell ref="F1140:H1140"/>
    <mergeCell ref="A1152:C1152"/>
    <mergeCell ref="F1161:H1161"/>
    <mergeCell ref="F1165:H1165"/>
    <mergeCell ref="A1077:C1077"/>
    <mergeCell ref="F1086:H1086"/>
    <mergeCell ref="F1090:H1090"/>
    <mergeCell ref="A1102:C1102"/>
    <mergeCell ref="F1111:H1111"/>
    <mergeCell ref="F1115:H1115"/>
    <mergeCell ref="A1027:C1027"/>
    <mergeCell ref="F1036:H1036"/>
    <mergeCell ref="F1040:H1040"/>
    <mergeCell ref="A1052:C1052"/>
    <mergeCell ref="F1061:H1061"/>
    <mergeCell ref="F1065:H1065"/>
    <mergeCell ref="A977:C977"/>
    <mergeCell ref="F986:H986"/>
    <mergeCell ref="F990:H990"/>
    <mergeCell ref="A1002:C1002"/>
    <mergeCell ref="F1011:H1011"/>
    <mergeCell ref="F1015:H1015"/>
    <mergeCell ref="A927:C927"/>
    <mergeCell ref="F936:H936"/>
    <mergeCell ref="F940:H940"/>
    <mergeCell ref="A952:C952"/>
    <mergeCell ref="F961:H961"/>
    <mergeCell ref="F965:H965"/>
    <mergeCell ref="A877:C877"/>
    <mergeCell ref="F886:H886"/>
    <mergeCell ref="F890:H890"/>
    <mergeCell ref="A902:C902"/>
    <mergeCell ref="F911:H911"/>
    <mergeCell ref="F915:H915"/>
    <mergeCell ref="A827:C827"/>
    <mergeCell ref="F836:H836"/>
    <mergeCell ref="F840:H840"/>
    <mergeCell ref="A852:C852"/>
    <mergeCell ref="F861:H861"/>
    <mergeCell ref="F865:H865"/>
    <mergeCell ref="A777:C777"/>
    <mergeCell ref="F786:H786"/>
    <mergeCell ref="F790:H790"/>
    <mergeCell ref="A802:C802"/>
    <mergeCell ref="F811:H811"/>
    <mergeCell ref="F815:H815"/>
    <mergeCell ref="A727:C727"/>
    <mergeCell ref="F736:H736"/>
    <mergeCell ref="F740:H740"/>
    <mergeCell ref="A752:C752"/>
    <mergeCell ref="F761:H761"/>
    <mergeCell ref="F765:H765"/>
    <mergeCell ref="A677:C677"/>
    <mergeCell ref="F686:H686"/>
    <mergeCell ref="F690:H690"/>
    <mergeCell ref="A702:C702"/>
    <mergeCell ref="F711:H711"/>
    <mergeCell ref="F715:H715"/>
    <mergeCell ref="A627:C627"/>
    <mergeCell ref="F636:H636"/>
    <mergeCell ref="F640:H640"/>
    <mergeCell ref="A652:C652"/>
    <mergeCell ref="F661:H661"/>
    <mergeCell ref="F665:H665"/>
    <mergeCell ref="A577:C577"/>
    <mergeCell ref="F586:H586"/>
    <mergeCell ref="F590:H590"/>
    <mergeCell ref="A602:C602"/>
    <mergeCell ref="F611:H611"/>
    <mergeCell ref="F615:H615"/>
    <mergeCell ref="A527:C527"/>
    <mergeCell ref="F536:H536"/>
    <mergeCell ref="F540:H540"/>
    <mergeCell ref="A552:C552"/>
    <mergeCell ref="F561:H561"/>
    <mergeCell ref="F565:H565"/>
    <mergeCell ref="A477:C477"/>
    <mergeCell ref="F486:H486"/>
    <mergeCell ref="F490:H490"/>
    <mergeCell ref="A502:C502"/>
    <mergeCell ref="F511:H511"/>
    <mergeCell ref="F515:H515"/>
    <mergeCell ref="A452:C452"/>
    <mergeCell ref="F461:H461"/>
    <mergeCell ref="F465:H465"/>
    <mergeCell ref="A402:C402"/>
    <mergeCell ref="F411:H411"/>
    <mergeCell ref="F415:H415"/>
    <mergeCell ref="A427:C427"/>
    <mergeCell ref="F436:H436"/>
    <mergeCell ref="F440:H440"/>
    <mergeCell ref="A352:C352"/>
    <mergeCell ref="F361:H361"/>
    <mergeCell ref="F365:H365"/>
    <mergeCell ref="A377:C377"/>
    <mergeCell ref="F386:H386"/>
    <mergeCell ref="F390:H390"/>
    <mergeCell ref="A302:C302"/>
    <mergeCell ref="F311:H311"/>
    <mergeCell ref="F315:H315"/>
    <mergeCell ref="A327:C327"/>
    <mergeCell ref="F336:H336"/>
    <mergeCell ref="F340:H340"/>
    <mergeCell ref="A252:C252"/>
    <mergeCell ref="F261:H261"/>
    <mergeCell ref="F265:H265"/>
    <mergeCell ref="A277:C277"/>
    <mergeCell ref="F286:H286"/>
    <mergeCell ref="F290:H290"/>
    <mergeCell ref="A227:C227"/>
    <mergeCell ref="F236:H236"/>
    <mergeCell ref="F240:H240"/>
    <mergeCell ref="A152:C152"/>
    <mergeCell ref="F161:H161"/>
    <mergeCell ref="F165:H165"/>
    <mergeCell ref="A177:C177"/>
    <mergeCell ref="F186:H186"/>
    <mergeCell ref="F190:H190"/>
    <mergeCell ref="A2:C2"/>
    <mergeCell ref="F11:H11"/>
    <mergeCell ref="F15:H15"/>
    <mergeCell ref="A27:C27"/>
    <mergeCell ref="F36:H36"/>
    <mergeCell ref="F40:H40"/>
    <mergeCell ref="A202:C202"/>
    <mergeCell ref="F211:H211"/>
    <mergeCell ref="F215:H215"/>
    <mergeCell ref="A77:C77"/>
    <mergeCell ref="A102:C102"/>
    <mergeCell ref="F115:H115"/>
    <mergeCell ref="A127:C127"/>
    <mergeCell ref="F140:H140"/>
    <mergeCell ref="F90:H90"/>
    <mergeCell ref="A52:C52"/>
    <mergeCell ref="F61:H61"/>
    <mergeCell ref="F65:H65"/>
    <mergeCell ref="A1202:C1202"/>
    <mergeCell ref="F1211:H1211"/>
    <mergeCell ref="F1215:H1215"/>
    <mergeCell ref="A1227:C1227"/>
    <mergeCell ref="F1236:H1236"/>
    <mergeCell ref="F1240:H1240"/>
    <mergeCell ref="A1252:C1252"/>
    <mergeCell ref="F1261:H1261"/>
    <mergeCell ref="F1265:H1265"/>
    <mergeCell ref="A1277:C1277"/>
    <mergeCell ref="F1286:H1286"/>
    <mergeCell ref="F1290:H1290"/>
    <mergeCell ref="A1302:C1302"/>
    <mergeCell ref="F1311:H1311"/>
    <mergeCell ref="F1315:H1315"/>
    <mergeCell ref="A1327:C1327"/>
    <mergeCell ref="F1336:H1336"/>
    <mergeCell ref="F1340:H1340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51"/>
  <sheetViews>
    <sheetView topLeftCell="A321" workbookViewId="0">
      <selection activeCell="K333" sqref="K333"/>
    </sheetView>
  </sheetViews>
  <sheetFormatPr defaultColWidth="11.42578125" defaultRowHeight="15" x14ac:dyDescent="0.25"/>
  <cols>
    <col min="1" max="1" width="24.28515625" customWidth="1"/>
  </cols>
  <sheetData>
    <row r="1" spans="1:8" x14ac:dyDescent="0.25">
      <c r="A1" s="23" t="s">
        <v>0</v>
      </c>
      <c r="B1" s="23" t="s">
        <v>1</v>
      </c>
      <c r="C1" s="23" t="s">
        <v>2</v>
      </c>
      <c r="D1" s="23"/>
      <c r="E1" s="19"/>
      <c r="F1" s="19"/>
    </row>
    <row r="2" spans="1:8" x14ac:dyDescent="0.25">
      <c r="A2" s="28" t="str">
        <f>"sector " &amp; D2 &amp; " and region " &amp;E2</f>
        <v>sector 1 and region 1</v>
      </c>
      <c r="B2" s="28"/>
      <c r="C2" s="28"/>
      <c r="D2" s="19">
        <v>1</v>
      </c>
      <c r="E2" s="19">
        <v>1</v>
      </c>
      <c r="F2" s="19" t="str">
        <f>D2 &amp; "_" &amp; E2</f>
        <v>1_1</v>
      </c>
    </row>
    <row r="3" spans="1:8" x14ac:dyDescent="0.25">
      <c r="A3" s="5" t="s">
        <v>3</v>
      </c>
    </row>
    <row r="4" spans="1:8" x14ac:dyDescent="0.25">
      <c r="A4" t="str" cm="1">
        <f t="array" aca="1" ref="A4" ca="1">"aK_T_1_" &amp; INDIRECT("F" &amp; ROW(C4)-2) &amp; "_p"</f>
        <v>aK_T_1_1_1_p</v>
      </c>
      <c r="B4">
        <v>0</v>
      </c>
      <c r="C4" t="s">
        <v>4</v>
      </c>
    </row>
    <row r="5" spans="1:8" x14ac:dyDescent="0.25">
      <c r="A5" t="str" cm="1">
        <f t="array" aca="1" ref="A5" ca="1">"aK_T_2_" &amp; INDIRECT("F" &amp; ROW(C5)-3) &amp; "_p"</f>
        <v>aK_T_2_1_1_p</v>
      </c>
      <c r="B5">
        <v>0</v>
      </c>
      <c r="C5" t="s">
        <v>5</v>
      </c>
    </row>
    <row r="6" spans="1:8" x14ac:dyDescent="0.25">
      <c r="A6" t="str" cm="1">
        <f t="array" aca="1" ref="A6" ca="1">"aK_T_3_" &amp; INDIRECT("F" &amp; ROW(C6)-4) &amp; "_p"</f>
        <v>aK_T_3_1_1_p</v>
      </c>
      <c r="B6">
        <v>2</v>
      </c>
      <c r="C6" t="s">
        <v>6</v>
      </c>
    </row>
    <row r="7" spans="1:8" x14ac:dyDescent="0.25">
      <c r="A7" s="5" t="s">
        <v>8</v>
      </c>
    </row>
    <row r="8" spans="1:8" x14ac:dyDescent="0.25">
      <c r="A8" t="str" cm="1">
        <f t="array" aca="1" ref="A8" ca="1">"aK_WS_1_" &amp; INDIRECT("F" &amp; ROW(C8)-6) &amp; "_p"</f>
        <v>aK_WS_1_1_1_p</v>
      </c>
      <c r="B8">
        <v>0</v>
      </c>
      <c r="C8" t="s">
        <v>4</v>
      </c>
    </row>
    <row r="9" spans="1:8" x14ac:dyDescent="0.25">
      <c r="A9" t="str" cm="1">
        <f t="array" aca="1" ref="A9" ca="1">"aK_WS_2_" &amp; INDIRECT("F" &amp; ROW(C9)-7) &amp; "_p"</f>
        <v>aK_WS_2_1_1_p</v>
      </c>
      <c r="B9">
        <v>0</v>
      </c>
      <c r="C9" t="s">
        <v>5</v>
      </c>
    </row>
    <row r="10" spans="1:8" x14ac:dyDescent="0.25">
      <c r="A10" t="str" cm="1">
        <f t="array" aca="1" ref="A10" ca="1">"aK_WS_3_" &amp; INDIRECT("F" &amp; ROW(C10)-8) &amp; "_p"</f>
        <v>aK_WS_3_1_1_p</v>
      </c>
      <c r="B10">
        <v>2</v>
      </c>
      <c r="C10" t="s">
        <v>6</v>
      </c>
    </row>
    <row r="11" spans="1:8" x14ac:dyDescent="0.25">
      <c r="A11" s="5" t="s">
        <v>7</v>
      </c>
      <c r="F11" s="27"/>
      <c r="G11" s="27"/>
      <c r="H11" s="27"/>
    </row>
    <row r="12" spans="1:8" x14ac:dyDescent="0.25">
      <c r="A12" t="str" cm="1">
        <f t="array" aca="1" ref="A12" ca="1">"aK_PREC_1_" &amp; INDIRECT("F" &amp; ROW(C12) - 10) &amp; "_p"</f>
        <v>aK_PREC_1_1_1_p</v>
      </c>
      <c r="B12">
        <v>0</v>
      </c>
      <c r="C12" t="s">
        <v>4</v>
      </c>
    </row>
    <row r="13" spans="1:8" x14ac:dyDescent="0.25">
      <c r="A13" t="str" cm="1">
        <f t="array" aca="1" ref="A13" ca="1">"aK_PREC_2_" &amp; INDIRECT("F" &amp; ROW(C13) - 11) &amp; "_p"</f>
        <v>aK_PREC_2_1_1_p</v>
      </c>
      <c r="B13">
        <v>0</v>
      </c>
      <c r="C13" t="s">
        <v>5</v>
      </c>
    </row>
    <row r="14" spans="1:8" x14ac:dyDescent="0.25">
      <c r="A14" t="str" cm="1">
        <f t="array" aca="1" ref="A14" ca="1">"aK_PREC_3_" &amp; INDIRECT("F" &amp; ROW(C14) - 12) &amp; "_p"</f>
        <v>aK_PREC_3_1_1_p</v>
      </c>
      <c r="B14">
        <v>2</v>
      </c>
      <c r="C14" t="s">
        <v>6</v>
      </c>
    </row>
    <row r="15" spans="1:8" x14ac:dyDescent="0.25">
      <c r="A15" s="5" t="s">
        <v>9</v>
      </c>
      <c r="F15" s="27"/>
      <c r="G15" s="27"/>
      <c r="H15" s="27"/>
    </row>
    <row r="16" spans="1:8" x14ac:dyDescent="0.25">
      <c r="A16" t="str" cm="1">
        <f t="array" aca="1" ref="A16" ca="1">"aK_SL_1_" &amp; INDIRECT("F" &amp; ROW(C16) - 14) &amp; "_p"</f>
        <v>aK_SL_1_1_1_p</v>
      </c>
      <c r="B16">
        <v>0</v>
      </c>
      <c r="C16" t="s">
        <v>4</v>
      </c>
    </row>
    <row r="17" spans="1:6" x14ac:dyDescent="0.25">
      <c r="A17" t="str" cm="1">
        <f t="array" aca="1" ref="A17" ca="1">"aK_SL_2_" &amp; INDIRECT("F" &amp; ROW(C17) - 15) &amp; "_p"</f>
        <v>aK_SL_2_1_1_p</v>
      </c>
      <c r="B17">
        <v>0</v>
      </c>
      <c r="C17" t="s">
        <v>5</v>
      </c>
    </row>
    <row r="18" spans="1:6" x14ac:dyDescent="0.25">
      <c r="A18" t="str" cm="1">
        <f t="array" aca="1" ref="A18" ca="1">"aK_SL_3_" &amp; INDIRECT("F" &amp; ROW(C18) - 16) &amp; "_p"</f>
        <v>aK_SL_3_1_1_p</v>
      </c>
      <c r="B18">
        <v>2</v>
      </c>
      <c r="C18" t="s">
        <v>6</v>
      </c>
    </row>
    <row r="19" spans="1:6" x14ac:dyDescent="0.25">
      <c r="A19" s="5" t="s">
        <v>95</v>
      </c>
    </row>
    <row r="20" spans="1:6" x14ac:dyDescent="0.25">
      <c r="A20" t="str" cm="1">
        <f t="array" aca="1" ref="A20" ca="1">"aK_DRO_1_" &amp; INDIRECT("F" &amp; ROW(C20) - 18) &amp; "_p"</f>
        <v>aK_DRO_1_1_1_p</v>
      </c>
      <c r="B20">
        <v>0</v>
      </c>
      <c r="C20" t="s">
        <v>4</v>
      </c>
    </row>
    <row r="21" spans="1:6" x14ac:dyDescent="0.25">
      <c r="A21" t="str" cm="1">
        <f t="array" aca="1" ref="A21" ca="1">"aK_DRO_2_" &amp; INDIRECT("F" &amp; ROW(C21) - 19) &amp; "_p"</f>
        <v>aK_DRO_2_1_1_p</v>
      </c>
      <c r="B21">
        <v>0</v>
      </c>
      <c r="C21" t="s">
        <v>5</v>
      </c>
    </row>
    <row r="22" spans="1:6" x14ac:dyDescent="0.25">
      <c r="A22" t="str" cm="1">
        <f t="array" aca="1" ref="A22" ca="1">"aK_DRO_3_" &amp; INDIRECT("F" &amp; ROW(C22) - 20) &amp; "_p"</f>
        <v>aK_DRO_3_1_1_p</v>
      </c>
      <c r="B22">
        <v>2</v>
      </c>
      <c r="C22" t="s">
        <v>6</v>
      </c>
    </row>
    <row r="23" spans="1:6" x14ac:dyDescent="0.25">
      <c r="A23" s="5" t="s">
        <v>96</v>
      </c>
    </row>
    <row r="24" spans="1:6" x14ac:dyDescent="0.25">
      <c r="A24" t="str" cm="1">
        <f t="array" aca="1" ref="A24" ca="1">"aK_CYC_1_" &amp; INDIRECT("F" &amp; ROW(C24) - 22) &amp; "_p"</f>
        <v>aK_CYC_1_1_1_p</v>
      </c>
      <c r="B24">
        <v>0.1</v>
      </c>
      <c r="C24" t="s">
        <v>4</v>
      </c>
    </row>
    <row r="25" spans="1:6" x14ac:dyDescent="0.25">
      <c r="A25" t="str" cm="1">
        <f t="array" aca="1" ref="A25" ca="1">"aK_CYC_2_" &amp; INDIRECT("F" &amp; ROW(C25) - 23) &amp; "_p"</f>
        <v>aK_CYC_2_1_1_p</v>
      </c>
      <c r="B25">
        <v>0</v>
      </c>
      <c r="C25" t="s">
        <v>5</v>
      </c>
    </row>
    <row r="26" spans="1:6" x14ac:dyDescent="0.25">
      <c r="A26" t="str" cm="1">
        <f t="array" aca="1" ref="A26" ca="1">"aK_CYC_3_" &amp; INDIRECT("F" &amp; ROW(C26) - 24) &amp; "_p"</f>
        <v>aK_CYC_3_1_1_p</v>
      </c>
      <c r="B26">
        <v>2</v>
      </c>
      <c r="C26" t="s">
        <v>6</v>
      </c>
    </row>
    <row r="27" spans="1:6" x14ac:dyDescent="0.25">
      <c r="A27" s="26" t="str">
        <f>"sector " &amp; D27 &amp; " and region " &amp;E27</f>
        <v>sector 1 and region 2</v>
      </c>
      <c r="B27" s="26"/>
      <c r="C27" s="26"/>
      <c r="D27" s="24">
        <v>1</v>
      </c>
      <c r="E27" s="24">
        <v>2</v>
      </c>
      <c r="F27" s="24" t="str">
        <f>D27 &amp; "_" &amp; E27</f>
        <v>1_2</v>
      </c>
    </row>
    <row r="28" spans="1:6" x14ac:dyDescent="0.25">
      <c r="A28" s="5" t="s">
        <v>3</v>
      </c>
    </row>
    <row r="29" spans="1:6" x14ac:dyDescent="0.25">
      <c r="A29" t="str" cm="1">
        <f t="array" aca="1" ref="A29" ca="1">"aK_T_1_" &amp; INDIRECT("F" &amp; ROW(C29)-2) &amp; "_p"</f>
        <v>aK_T_1_1_2_p</v>
      </c>
      <c r="B29">
        <v>0</v>
      </c>
      <c r="C29" t="s">
        <v>4</v>
      </c>
    </row>
    <row r="30" spans="1:6" x14ac:dyDescent="0.25">
      <c r="A30" t="str" cm="1">
        <f t="array" aca="1" ref="A30" ca="1">"aK_T_2_" &amp; INDIRECT("F" &amp; ROW(C30)-3) &amp; "_p"</f>
        <v>aK_T_2_1_2_p</v>
      </c>
      <c r="B30">
        <v>0</v>
      </c>
      <c r="C30" t="s">
        <v>5</v>
      </c>
    </row>
    <row r="31" spans="1:6" x14ac:dyDescent="0.25">
      <c r="A31" t="str" cm="1">
        <f t="array" aca="1" ref="A31" ca="1">"aK_T_3_" &amp; INDIRECT("F" &amp; ROW(C31)-4) &amp; "_p"</f>
        <v>aK_T_3_1_2_p</v>
      </c>
      <c r="B31">
        <v>2</v>
      </c>
      <c r="C31" t="s">
        <v>6</v>
      </c>
    </row>
    <row r="32" spans="1:6" x14ac:dyDescent="0.25">
      <c r="A32" s="5" t="s">
        <v>8</v>
      </c>
    </row>
    <row r="33" spans="1:8" x14ac:dyDescent="0.25">
      <c r="A33" t="str" cm="1">
        <f t="array" aca="1" ref="A33" ca="1">"aK_WS_1_" &amp; INDIRECT("F" &amp; ROW(C33)-6) &amp; "_p"</f>
        <v>aK_WS_1_1_2_p</v>
      </c>
      <c r="B33">
        <v>0</v>
      </c>
      <c r="C33" t="s">
        <v>4</v>
      </c>
    </row>
    <row r="34" spans="1:8" x14ac:dyDescent="0.25">
      <c r="A34" t="str" cm="1">
        <f t="array" aca="1" ref="A34" ca="1">"aK_WS_2_" &amp; INDIRECT("F" &amp; ROW(C34)-7) &amp; "_p"</f>
        <v>aK_WS_2_1_2_p</v>
      </c>
      <c r="B34">
        <v>0</v>
      </c>
      <c r="C34" t="s">
        <v>5</v>
      </c>
    </row>
    <row r="35" spans="1:8" x14ac:dyDescent="0.25">
      <c r="A35" t="str" cm="1">
        <f t="array" aca="1" ref="A35" ca="1">"aK_WS_3_" &amp; INDIRECT("F" &amp; ROW(C35)-8) &amp; "_p"</f>
        <v>aK_WS_3_1_2_p</v>
      </c>
      <c r="B35">
        <v>2</v>
      </c>
      <c r="C35" t="s">
        <v>6</v>
      </c>
    </row>
    <row r="36" spans="1:8" x14ac:dyDescent="0.25">
      <c r="A36" s="5" t="s">
        <v>7</v>
      </c>
      <c r="F36" s="27"/>
      <c r="G36" s="27"/>
      <c r="H36" s="27"/>
    </row>
    <row r="37" spans="1:8" x14ac:dyDescent="0.25">
      <c r="A37" t="str" cm="1">
        <f t="array" aca="1" ref="A37" ca="1">"aK_PREC_1_" &amp; INDIRECT("F" &amp; ROW(C37) - 10) &amp; "_p"</f>
        <v>aK_PREC_1_1_2_p</v>
      </c>
      <c r="B37">
        <v>0</v>
      </c>
      <c r="C37" t="s">
        <v>4</v>
      </c>
    </row>
    <row r="38" spans="1:8" x14ac:dyDescent="0.25">
      <c r="A38" t="str" cm="1">
        <f t="array" aca="1" ref="A38" ca="1">"aK_PREC_2_" &amp; INDIRECT("F" &amp; ROW(C38) - 11) &amp; "_p"</f>
        <v>aK_PREC_2_1_2_p</v>
      </c>
      <c r="B38">
        <v>0</v>
      </c>
      <c r="C38" t="s">
        <v>5</v>
      </c>
    </row>
    <row r="39" spans="1:8" x14ac:dyDescent="0.25">
      <c r="A39" t="str" cm="1">
        <f t="array" aca="1" ref="A39" ca="1">"aK_PREC_3_" &amp; INDIRECT("F" &amp; ROW(C39) - 12) &amp; "_p"</f>
        <v>aK_PREC_3_1_2_p</v>
      </c>
      <c r="B39">
        <v>2</v>
      </c>
      <c r="C39" t="s">
        <v>6</v>
      </c>
    </row>
    <row r="40" spans="1:8" x14ac:dyDescent="0.25">
      <c r="A40" s="5" t="s">
        <v>9</v>
      </c>
      <c r="F40" s="27"/>
      <c r="G40" s="27"/>
      <c r="H40" s="27"/>
    </row>
    <row r="41" spans="1:8" x14ac:dyDescent="0.25">
      <c r="A41" t="str" cm="1">
        <f t="array" aca="1" ref="A41" ca="1">"aK_SL_1_" &amp; INDIRECT("F" &amp; ROW(C41) - 14) &amp; "_p"</f>
        <v>aK_SL_1_1_2_p</v>
      </c>
      <c r="B41">
        <v>0</v>
      </c>
      <c r="C41" t="s">
        <v>4</v>
      </c>
    </row>
    <row r="42" spans="1:8" x14ac:dyDescent="0.25">
      <c r="A42" t="str" cm="1">
        <f t="array" aca="1" ref="A42" ca="1">"aK_SL_2_" &amp; INDIRECT("F" &amp; ROW(C42) - 15) &amp; "_p"</f>
        <v>aK_SL_2_1_2_p</v>
      </c>
      <c r="B42">
        <v>0</v>
      </c>
      <c r="C42" t="s">
        <v>5</v>
      </c>
    </row>
    <row r="43" spans="1:8" x14ac:dyDescent="0.25">
      <c r="A43" t="str" cm="1">
        <f t="array" aca="1" ref="A43" ca="1">"aK_SL_3_" &amp; INDIRECT("F" &amp; ROW(C43) - 16) &amp; "_p"</f>
        <v>aK_SL_3_1_2_p</v>
      </c>
      <c r="B43">
        <v>2</v>
      </c>
      <c r="C43" t="s">
        <v>6</v>
      </c>
    </row>
    <row r="44" spans="1:8" x14ac:dyDescent="0.25">
      <c r="A44" s="5" t="s">
        <v>95</v>
      </c>
    </row>
    <row r="45" spans="1:8" x14ac:dyDescent="0.25">
      <c r="A45" t="str" cm="1">
        <f t="array" aca="1" ref="A45" ca="1">"aK_DRO_1_" &amp; INDIRECT("F" &amp; ROW(C45) - 18) &amp; "_p"</f>
        <v>aK_DRO_1_1_2_p</v>
      </c>
      <c r="B45">
        <v>0</v>
      </c>
      <c r="C45" t="s">
        <v>4</v>
      </c>
    </row>
    <row r="46" spans="1:8" x14ac:dyDescent="0.25">
      <c r="A46" t="str" cm="1">
        <f t="array" aca="1" ref="A46" ca="1">"aK_DRO_2_" &amp; INDIRECT("F" &amp; ROW(C46) - 19) &amp; "_p"</f>
        <v>aK_DRO_2_1_2_p</v>
      </c>
      <c r="B46">
        <v>0</v>
      </c>
      <c r="C46" t="s">
        <v>5</v>
      </c>
    </row>
    <row r="47" spans="1:8" x14ac:dyDescent="0.25">
      <c r="A47" t="str" cm="1">
        <f t="array" aca="1" ref="A47" ca="1">"aK_DRO_3_" &amp; INDIRECT("F" &amp; ROW(C47) - 20) &amp; "_p"</f>
        <v>aK_DRO_3_1_2_p</v>
      </c>
      <c r="B47">
        <v>2</v>
      </c>
      <c r="C47" t="s">
        <v>6</v>
      </c>
    </row>
    <row r="48" spans="1:8" x14ac:dyDescent="0.25">
      <c r="A48" s="5" t="s">
        <v>96</v>
      </c>
    </row>
    <row r="49" spans="1:8" x14ac:dyDescent="0.25">
      <c r="A49" t="str" cm="1">
        <f t="array" aca="1" ref="A49" ca="1">"aK_CYC_1_" &amp; INDIRECT("F" &amp; ROW(C49) - 22) &amp; "_p"</f>
        <v>aK_CYC_1_1_2_p</v>
      </c>
      <c r="B49">
        <v>0.1</v>
      </c>
      <c r="C49" t="s">
        <v>4</v>
      </c>
    </row>
    <row r="50" spans="1:8" x14ac:dyDescent="0.25">
      <c r="A50" t="str" cm="1">
        <f t="array" aca="1" ref="A50" ca="1">"aK_CYC_2_" &amp; INDIRECT("F" &amp; ROW(C50) - 23) &amp; "_p"</f>
        <v>aK_CYC_2_1_2_p</v>
      </c>
      <c r="B50">
        <v>0</v>
      </c>
      <c r="C50" t="s">
        <v>5</v>
      </c>
    </row>
    <row r="51" spans="1:8" x14ac:dyDescent="0.25">
      <c r="A51" t="str" cm="1">
        <f t="array" aca="1" ref="A51" ca="1">"aK_CYC_3_" &amp; INDIRECT("F" &amp; ROW(C51) - 24) &amp; "_p"</f>
        <v>aK_CYC_3_1_2_p</v>
      </c>
      <c r="B51">
        <v>2</v>
      </c>
      <c r="C51" t="s">
        <v>6</v>
      </c>
    </row>
    <row r="52" spans="1:8" x14ac:dyDescent="0.25">
      <c r="A52" s="26" t="str">
        <f>"sector " &amp; D52 &amp; " and region " &amp;E52</f>
        <v>sector 1 and region 3</v>
      </c>
      <c r="B52" s="26"/>
      <c r="C52" s="26"/>
      <c r="D52" s="24">
        <v>1</v>
      </c>
      <c r="E52" s="24">
        <v>3</v>
      </c>
      <c r="F52" s="24" t="str">
        <f>D52 &amp; "_" &amp; E52</f>
        <v>1_3</v>
      </c>
    </row>
    <row r="53" spans="1:8" x14ac:dyDescent="0.25">
      <c r="A53" s="5" t="s">
        <v>3</v>
      </c>
    </row>
    <row r="54" spans="1:8" x14ac:dyDescent="0.25">
      <c r="A54" t="str" cm="1">
        <f t="array" aca="1" ref="A54" ca="1">"aK_T_1_" &amp; INDIRECT("F" &amp; ROW(C54)-2) &amp; "_p"</f>
        <v>aK_T_1_1_3_p</v>
      </c>
      <c r="B54">
        <v>0</v>
      </c>
      <c r="C54" t="s">
        <v>4</v>
      </c>
    </row>
    <row r="55" spans="1:8" x14ac:dyDescent="0.25">
      <c r="A55" t="str" cm="1">
        <f t="array" aca="1" ref="A55" ca="1">"aK_T_2_" &amp; INDIRECT("F" &amp; ROW(C55)-3) &amp; "_p"</f>
        <v>aK_T_2_1_3_p</v>
      </c>
      <c r="B55">
        <v>0</v>
      </c>
      <c r="C55" t="s">
        <v>5</v>
      </c>
    </row>
    <row r="56" spans="1:8" x14ac:dyDescent="0.25">
      <c r="A56" t="str" cm="1">
        <f t="array" aca="1" ref="A56" ca="1">"aK_T_3_" &amp; INDIRECT("F" &amp; ROW(C56)-4) &amp; "_p"</f>
        <v>aK_T_3_1_3_p</v>
      </c>
      <c r="B56">
        <v>2</v>
      </c>
      <c r="C56" t="s">
        <v>6</v>
      </c>
    </row>
    <row r="57" spans="1:8" x14ac:dyDescent="0.25">
      <c r="A57" s="5" t="s">
        <v>8</v>
      </c>
    </row>
    <row r="58" spans="1:8" x14ac:dyDescent="0.25">
      <c r="A58" t="str" cm="1">
        <f t="array" aca="1" ref="A58" ca="1">"aK_WS_1_" &amp; INDIRECT("F" &amp; ROW(C58)-6) &amp; "_p"</f>
        <v>aK_WS_1_1_3_p</v>
      </c>
      <c r="B58">
        <v>0</v>
      </c>
      <c r="C58" t="s">
        <v>4</v>
      </c>
    </row>
    <row r="59" spans="1:8" x14ac:dyDescent="0.25">
      <c r="A59" t="str" cm="1">
        <f t="array" aca="1" ref="A59" ca="1">"aK_WS_2_" &amp; INDIRECT("F" &amp; ROW(C59)-7) &amp; "_p"</f>
        <v>aK_WS_2_1_3_p</v>
      </c>
      <c r="B59">
        <v>0</v>
      </c>
      <c r="C59" t="s">
        <v>5</v>
      </c>
    </row>
    <row r="60" spans="1:8" x14ac:dyDescent="0.25">
      <c r="A60" t="str" cm="1">
        <f t="array" aca="1" ref="A60" ca="1">"aK_WS_3_" &amp; INDIRECT("F" &amp; ROW(C60)-8) &amp; "_p"</f>
        <v>aK_WS_3_1_3_p</v>
      </c>
      <c r="B60">
        <v>2</v>
      </c>
      <c r="C60" t="s">
        <v>6</v>
      </c>
    </row>
    <row r="61" spans="1:8" x14ac:dyDescent="0.25">
      <c r="A61" s="5" t="s">
        <v>7</v>
      </c>
      <c r="F61" s="27"/>
      <c r="G61" s="27"/>
      <c r="H61" s="27"/>
    </row>
    <row r="62" spans="1:8" x14ac:dyDescent="0.25">
      <c r="A62" t="str" cm="1">
        <f t="array" aca="1" ref="A62" ca="1">"aK_PREC_1_" &amp; INDIRECT("F" &amp; ROW(C62) - 10) &amp; "_p"</f>
        <v>aK_PREC_1_1_3_p</v>
      </c>
      <c r="B62">
        <v>0</v>
      </c>
      <c r="C62" t="s">
        <v>4</v>
      </c>
    </row>
    <row r="63" spans="1:8" x14ac:dyDescent="0.25">
      <c r="A63" t="str" cm="1">
        <f t="array" aca="1" ref="A63" ca="1">"aK_PREC_2_" &amp; INDIRECT("F" &amp; ROW(C63) - 11) &amp; "_p"</f>
        <v>aK_PREC_2_1_3_p</v>
      </c>
      <c r="B63">
        <v>0</v>
      </c>
      <c r="C63" t="s">
        <v>5</v>
      </c>
    </row>
    <row r="64" spans="1:8" x14ac:dyDescent="0.25">
      <c r="A64" t="str" cm="1">
        <f t="array" aca="1" ref="A64" ca="1">"aK_PREC_3_" &amp; INDIRECT("F" &amp; ROW(C64) - 12) &amp; "_p"</f>
        <v>aK_PREC_3_1_3_p</v>
      </c>
      <c r="B64">
        <v>2</v>
      </c>
      <c r="C64" t="s">
        <v>6</v>
      </c>
    </row>
    <row r="65" spans="1:8" x14ac:dyDescent="0.25">
      <c r="A65" s="5" t="s">
        <v>9</v>
      </c>
      <c r="F65" s="27"/>
      <c r="G65" s="27"/>
      <c r="H65" s="27"/>
    </row>
    <row r="66" spans="1:8" x14ac:dyDescent="0.25">
      <c r="A66" t="str" cm="1">
        <f t="array" aca="1" ref="A66" ca="1">"aK_SL_1_" &amp; INDIRECT("F" &amp; ROW(C66) - 14) &amp; "_p"</f>
        <v>aK_SL_1_1_3_p</v>
      </c>
      <c r="B66">
        <v>0</v>
      </c>
      <c r="C66" t="s">
        <v>4</v>
      </c>
    </row>
    <row r="67" spans="1:8" x14ac:dyDescent="0.25">
      <c r="A67" t="str" cm="1">
        <f t="array" aca="1" ref="A67" ca="1">"aK_SL_2_" &amp; INDIRECT("F" &amp; ROW(C67) - 15) &amp; "_p"</f>
        <v>aK_SL_2_1_3_p</v>
      </c>
      <c r="B67">
        <v>0</v>
      </c>
      <c r="C67" t="s">
        <v>5</v>
      </c>
    </row>
    <row r="68" spans="1:8" x14ac:dyDescent="0.25">
      <c r="A68" t="str" cm="1">
        <f t="array" aca="1" ref="A68" ca="1">"aK_SL_3_" &amp; INDIRECT("F" &amp; ROW(C68) - 16) &amp; "_p"</f>
        <v>aK_SL_3_1_3_p</v>
      </c>
      <c r="B68">
        <v>2</v>
      </c>
      <c r="C68" t="s">
        <v>6</v>
      </c>
    </row>
    <row r="69" spans="1:8" x14ac:dyDescent="0.25">
      <c r="A69" s="5" t="s">
        <v>95</v>
      </c>
    </row>
    <row r="70" spans="1:8" x14ac:dyDescent="0.25">
      <c r="A70" t="str" cm="1">
        <f t="array" aca="1" ref="A70" ca="1">"aK_DRO_1_" &amp; INDIRECT("F" &amp; ROW(C70) - 18) &amp; "_p"</f>
        <v>aK_DRO_1_1_3_p</v>
      </c>
      <c r="B70">
        <v>0</v>
      </c>
      <c r="C70" t="s">
        <v>4</v>
      </c>
    </row>
    <row r="71" spans="1:8" x14ac:dyDescent="0.25">
      <c r="A71" t="str" cm="1">
        <f t="array" aca="1" ref="A71" ca="1">"aK_DRO_2_" &amp; INDIRECT("F" &amp; ROW(C71) - 19) &amp; "_p"</f>
        <v>aK_DRO_2_1_3_p</v>
      </c>
      <c r="B71">
        <v>0</v>
      </c>
      <c r="C71" t="s">
        <v>5</v>
      </c>
    </row>
    <row r="72" spans="1:8" x14ac:dyDescent="0.25">
      <c r="A72" t="str" cm="1">
        <f t="array" aca="1" ref="A72" ca="1">"aK_DRO_3_" &amp; INDIRECT("F" &amp; ROW(C72) - 20) &amp; "_p"</f>
        <v>aK_DRO_3_1_3_p</v>
      </c>
      <c r="B72">
        <v>2</v>
      </c>
      <c r="C72" t="s">
        <v>6</v>
      </c>
    </row>
    <row r="73" spans="1:8" x14ac:dyDescent="0.25">
      <c r="A73" s="5" t="s">
        <v>96</v>
      </c>
    </row>
    <row r="74" spans="1:8" x14ac:dyDescent="0.25">
      <c r="A74" t="str" cm="1">
        <f t="array" aca="1" ref="A74" ca="1">"aK_CYC_1_" &amp; INDIRECT("F" &amp; ROW(C74) - 22) &amp; "_p"</f>
        <v>aK_CYC_1_1_3_p</v>
      </c>
      <c r="B74">
        <v>0.1</v>
      </c>
      <c r="C74" t="s">
        <v>4</v>
      </c>
    </row>
    <row r="75" spans="1:8" x14ac:dyDescent="0.25">
      <c r="A75" t="str" cm="1">
        <f t="array" aca="1" ref="A75" ca="1">"aK_CYC_2_" &amp; INDIRECT("F" &amp; ROW(C75) - 23) &amp; "_p"</f>
        <v>aK_CYC_2_1_3_p</v>
      </c>
      <c r="B75">
        <v>0</v>
      </c>
      <c r="C75" t="s">
        <v>5</v>
      </c>
    </row>
    <row r="76" spans="1:8" x14ac:dyDescent="0.25">
      <c r="A76" t="str" cm="1">
        <f t="array" aca="1" ref="A76" ca="1">"aK_CYC_3_" &amp; INDIRECT("F" &amp; ROW(C76) - 24) &amp; "_p"</f>
        <v>aK_CYC_3_1_3_p</v>
      </c>
      <c r="B76">
        <v>2</v>
      </c>
      <c r="C76" t="s">
        <v>6</v>
      </c>
    </row>
    <row r="77" spans="1:8" x14ac:dyDescent="0.25">
      <c r="A77" s="26" t="str">
        <f>"sector " &amp; D77 &amp; " and region " &amp;E77</f>
        <v>sector 1 and region 4</v>
      </c>
      <c r="B77" s="26"/>
      <c r="C77" s="26"/>
      <c r="D77" s="24">
        <v>1</v>
      </c>
      <c r="E77" s="24">
        <v>4</v>
      </c>
      <c r="F77" s="24" t="str">
        <f>D77 &amp; "_" &amp; E77</f>
        <v>1_4</v>
      </c>
    </row>
    <row r="78" spans="1:8" x14ac:dyDescent="0.25">
      <c r="A78" s="5" t="s">
        <v>3</v>
      </c>
    </row>
    <row r="79" spans="1:8" x14ac:dyDescent="0.25">
      <c r="A79" t="str" cm="1">
        <f t="array" aca="1" ref="A79" ca="1">"aK_T_1_" &amp; INDIRECT("F" &amp; ROW(C79)-2) &amp; "_p"</f>
        <v>aK_T_1_1_4_p</v>
      </c>
      <c r="B79">
        <v>0</v>
      </c>
      <c r="C79" t="s">
        <v>4</v>
      </c>
    </row>
    <row r="80" spans="1:8" x14ac:dyDescent="0.25">
      <c r="A80" t="str" cm="1">
        <f t="array" aca="1" ref="A80" ca="1">"aK_T_2_" &amp; INDIRECT("F" &amp; ROW(C80)-3) &amp; "_p"</f>
        <v>aK_T_2_1_4_p</v>
      </c>
      <c r="B80">
        <v>0</v>
      </c>
      <c r="C80" t="s">
        <v>5</v>
      </c>
    </row>
    <row r="81" spans="1:8" x14ac:dyDescent="0.25">
      <c r="A81" t="str" cm="1">
        <f t="array" aca="1" ref="A81" ca="1">"aK_T_3_" &amp; INDIRECT("F" &amp; ROW(C81)-4) &amp; "_p"</f>
        <v>aK_T_3_1_4_p</v>
      </c>
      <c r="B81">
        <v>2</v>
      </c>
      <c r="C81" t="s">
        <v>6</v>
      </c>
    </row>
    <row r="82" spans="1:8" x14ac:dyDescent="0.25">
      <c r="A82" s="5" t="s">
        <v>8</v>
      </c>
    </row>
    <row r="83" spans="1:8" x14ac:dyDescent="0.25">
      <c r="A83" t="str" cm="1">
        <f t="array" aca="1" ref="A83" ca="1">"aK_WS_1_" &amp; INDIRECT("F" &amp; ROW(C83)-6) &amp; "_p"</f>
        <v>aK_WS_1_1_4_p</v>
      </c>
      <c r="B83">
        <v>0</v>
      </c>
      <c r="C83" t="s">
        <v>4</v>
      </c>
    </row>
    <row r="84" spans="1:8" x14ac:dyDescent="0.25">
      <c r="A84" t="str" cm="1">
        <f t="array" aca="1" ref="A84" ca="1">"aK_WS_2_" &amp; INDIRECT("F" &amp; ROW(C84)-7) &amp; "_p"</f>
        <v>aK_WS_2_1_4_p</v>
      </c>
      <c r="B84">
        <v>0</v>
      </c>
      <c r="C84" t="s">
        <v>5</v>
      </c>
    </row>
    <row r="85" spans="1:8" x14ac:dyDescent="0.25">
      <c r="A85" t="str" cm="1">
        <f t="array" aca="1" ref="A85" ca="1">"aK_WS_3_" &amp; INDIRECT("F" &amp; ROW(C85)-8) &amp; "_p"</f>
        <v>aK_WS_3_1_4_p</v>
      </c>
      <c r="B85">
        <v>2</v>
      </c>
      <c r="C85" t="s">
        <v>6</v>
      </c>
    </row>
    <row r="86" spans="1:8" x14ac:dyDescent="0.25">
      <c r="A86" s="5" t="s">
        <v>7</v>
      </c>
    </row>
    <row r="87" spans="1:8" x14ac:dyDescent="0.25">
      <c r="A87" t="str" cm="1">
        <f t="array" aca="1" ref="A87" ca="1">"aK_PREC_1_" &amp; INDIRECT("F" &amp; ROW(C87) - 10) &amp; "_p"</f>
        <v>aK_PREC_1_1_4_p</v>
      </c>
      <c r="B87">
        <v>0</v>
      </c>
      <c r="C87" t="s">
        <v>4</v>
      </c>
    </row>
    <row r="88" spans="1:8" x14ac:dyDescent="0.25">
      <c r="A88" t="str" cm="1">
        <f t="array" aca="1" ref="A88" ca="1">"aK_PREC_2_" &amp; INDIRECT("F" &amp; ROW(C88) - 11) &amp; "_p"</f>
        <v>aK_PREC_2_1_4_p</v>
      </c>
      <c r="B88">
        <v>0</v>
      </c>
      <c r="C88" t="s">
        <v>5</v>
      </c>
    </row>
    <row r="89" spans="1:8" x14ac:dyDescent="0.25">
      <c r="A89" t="str" cm="1">
        <f t="array" aca="1" ref="A89" ca="1">"aK_PREC_3_" &amp; INDIRECT("F" &amp; ROW(C89) - 12) &amp; "_p"</f>
        <v>aK_PREC_3_1_4_p</v>
      </c>
      <c r="B89">
        <v>2</v>
      </c>
      <c r="C89" t="s">
        <v>6</v>
      </c>
    </row>
    <row r="90" spans="1:8" x14ac:dyDescent="0.25">
      <c r="A90" s="5" t="s">
        <v>9</v>
      </c>
      <c r="F90" s="27"/>
      <c r="G90" s="27"/>
      <c r="H90" s="27"/>
    </row>
    <row r="91" spans="1:8" x14ac:dyDescent="0.25">
      <c r="A91" t="str" cm="1">
        <f t="array" aca="1" ref="A91" ca="1">"aK_SL_1_" &amp; INDIRECT("F" &amp; ROW(C91) - 14) &amp; "_p"</f>
        <v>aK_SL_1_1_4_p</v>
      </c>
      <c r="B91">
        <v>0</v>
      </c>
      <c r="C91" t="s">
        <v>4</v>
      </c>
    </row>
    <row r="92" spans="1:8" x14ac:dyDescent="0.25">
      <c r="A92" t="str" cm="1">
        <f t="array" aca="1" ref="A92" ca="1">"aK_SL_2_" &amp; INDIRECT("F" &amp; ROW(C92) - 15) &amp; "_p"</f>
        <v>aK_SL_2_1_4_p</v>
      </c>
      <c r="B92">
        <v>0</v>
      </c>
      <c r="C92" t="s">
        <v>5</v>
      </c>
    </row>
    <row r="93" spans="1:8" x14ac:dyDescent="0.25">
      <c r="A93" t="str" cm="1">
        <f t="array" aca="1" ref="A93" ca="1">"aK_SL_3_" &amp; INDIRECT("F" &amp; ROW(C93) - 16) &amp; "_p"</f>
        <v>aK_SL_3_1_4_p</v>
      </c>
      <c r="B93">
        <v>2</v>
      </c>
      <c r="C93" t="s">
        <v>6</v>
      </c>
    </row>
    <row r="94" spans="1:8" x14ac:dyDescent="0.25">
      <c r="A94" s="5" t="s">
        <v>95</v>
      </c>
    </row>
    <row r="95" spans="1:8" x14ac:dyDescent="0.25">
      <c r="A95" t="str" cm="1">
        <f t="array" aca="1" ref="A95" ca="1">"aK_DRO_1_" &amp; INDIRECT("F" &amp; ROW(C95) - 18) &amp; "_p"</f>
        <v>aK_DRO_1_1_4_p</v>
      </c>
      <c r="B95">
        <v>0</v>
      </c>
      <c r="C95" t="s">
        <v>4</v>
      </c>
    </row>
    <row r="96" spans="1:8" x14ac:dyDescent="0.25">
      <c r="A96" t="str" cm="1">
        <f t="array" aca="1" ref="A96" ca="1">"aK_DRO_2_" &amp; INDIRECT("F" &amp; ROW(C96) - 19) &amp; "_p"</f>
        <v>aK_DRO_2_1_4_p</v>
      </c>
      <c r="B96">
        <v>0</v>
      </c>
      <c r="C96" t="s">
        <v>5</v>
      </c>
    </row>
    <row r="97" spans="1:6" x14ac:dyDescent="0.25">
      <c r="A97" t="str" cm="1">
        <f t="array" aca="1" ref="A97" ca="1">"aK_DRO_3_" &amp; INDIRECT("F" &amp; ROW(C97) - 20) &amp; "_p"</f>
        <v>aK_DRO_3_1_4_p</v>
      </c>
      <c r="B97">
        <v>2</v>
      </c>
      <c r="C97" t="s">
        <v>6</v>
      </c>
    </row>
    <row r="98" spans="1:6" x14ac:dyDescent="0.25">
      <c r="A98" s="5" t="s">
        <v>96</v>
      </c>
    </row>
    <row r="99" spans="1:6" x14ac:dyDescent="0.25">
      <c r="A99" t="str" cm="1">
        <f t="array" aca="1" ref="A99" ca="1">"aK_CYC_1_" &amp; INDIRECT("F" &amp; ROW(C99) - 22) &amp; "_p"</f>
        <v>aK_CYC_1_1_4_p</v>
      </c>
      <c r="B99">
        <v>0.1</v>
      </c>
      <c r="C99" t="s">
        <v>4</v>
      </c>
    </row>
    <row r="100" spans="1:6" x14ac:dyDescent="0.25">
      <c r="A100" t="str" cm="1">
        <f t="array" aca="1" ref="A100" ca="1">"aK_CYC_2_" &amp; INDIRECT("F" &amp; ROW(C100) - 23) &amp; "_p"</f>
        <v>aK_CYC_2_1_4_p</v>
      </c>
      <c r="B100">
        <v>0</v>
      </c>
      <c r="C100" t="s">
        <v>5</v>
      </c>
    </row>
    <row r="101" spans="1:6" x14ac:dyDescent="0.25">
      <c r="A101" t="str" cm="1">
        <f t="array" aca="1" ref="A101" ca="1">"aK_CYC_3_" &amp; INDIRECT("F" &amp; ROW(C101) - 24) &amp; "_p"</f>
        <v>aK_CYC_3_1_4_p</v>
      </c>
      <c r="B101">
        <v>2</v>
      </c>
      <c r="C101" t="s">
        <v>6</v>
      </c>
    </row>
    <row r="102" spans="1:6" x14ac:dyDescent="0.25">
      <c r="A102" s="26" t="str">
        <f>"sector " &amp; D102 &amp; " and region " &amp;E102</f>
        <v>sector 1 and region 5</v>
      </c>
      <c r="B102" s="26"/>
      <c r="C102" s="26"/>
      <c r="D102" s="24">
        <v>1</v>
      </c>
      <c r="E102" s="24">
        <v>5</v>
      </c>
      <c r="F102" s="24" t="str">
        <f>D102 &amp; "_" &amp; E102</f>
        <v>1_5</v>
      </c>
    </row>
    <row r="103" spans="1:6" x14ac:dyDescent="0.25">
      <c r="A103" s="5" t="s">
        <v>3</v>
      </c>
    </row>
    <row r="104" spans="1:6" x14ac:dyDescent="0.25">
      <c r="A104" t="str" cm="1">
        <f t="array" aca="1" ref="A104" ca="1">"aK_T_1_" &amp; INDIRECT("F" &amp; ROW(C104)-2) &amp; "_p"</f>
        <v>aK_T_1_1_5_p</v>
      </c>
      <c r="B104">
        <v>0</v>
      </c>
      <c r="C104" t="s">
        <v>4</v>
      </c>
    </row>
    <row r="105" spans="1:6" x14ac:dyDescent="0.25">
      <c r="A105" t="str" cm="1">
        <f t="array" aca="1" ref="A105" ca="1">"aK_T_2_" &amp; INDIRECT("F" &amp; ROW(C105)-3) &amp; "_p"</f>
        <v>aK_T_2_1_5_p</v>
      </c>
      <c r="B105">
        <v>0</v>
      </c>
      <c r="C105" t="s">
        <v>5</v>
      </c>
    </row>
    <row r="106" spans="1:6" x14ac:dyDescent="0.25">
      <c r="A106" t="str" cm="1">
        <f t="array" aca="1" ref="A106" ca="1">"aK_T_3_" &amp; INDIRECT("F" &amp; ROW(C106)-4) &amp; "_p"</f>
        <v>aK_T_3_1_5_p</v>
      </c>
      <c r="B106">
        <v>2</v>
      </c>
      <c r="C106" t="s">
        <v>6</v>
      </c>
    </row>
    <row r="107" spans="1:6" x14ac:dyDescent="0.25">
      <c r="A107" s="5" t="s">
        <v>8</v>
      </c>
    </row>
    <row r="108" spans="1:6" x14ac:dyDescent="0.25">
      <c r="A108" t="str" cm="1">
        <f t="array" aca="1" ref="A108" ca="1">"aK_WS_1_" &amp; INDIRECT("F" &amp; ROW(C108)-6) &amp; "_p"</f>
        <v>aK_WS_1_1_5_p</v>
      </c>
      <c r="B108">
        <v>0</v>
      </c>
      <c r="C108" t="s">
        <v>4</v>
      </c>
    </row>
    <row r="109" spans="1:6" x14ac:dyDescent="0.25">
      <c r="A109" t="str" cm="1">
        <f t="array" aca="1" ref="A109" ca="1">"aK_WS_2_" &amp; INDIRECT("F" &amp; ROW(C109)-7) &amp; "_p"</f>
        <v>aK_WS_2_1_5_p</v>
      </c>
      <c r="B109">
        <v>0</v>
      </c>
      <c r="C109" t="s">
        <v>5</v>
      </c>
    </row>
    <row r="110" spans="1:6" x14ac:dyDescent="0.25">
      <c r="A110" t="str" cm="1">
        <f t="array" aca="1" ref="A110" ca="1">"aK_WS_3_" &amp; INDIRECT("F" &amp; ROW(C110)-8) &amp; "_p"</f>
        <v>aK_WS_3_1_5_p</v>
      </c>
      <c r="B110">
        <v>2</v>
      </c>
      <c r="C110" t="s">
        <v>6</v>
      </c>
    </row>
    <row r="111" spans="1:6" x14ac:dyDescent="0.25">
      <c r="A111" s="5" t="s">
        <v>7</v>
      </c>
    </row>
    <row r="112" spans="1:6" x14ac:dyDescent="0.25">
      <c r="A112" t="str" cm="1">
        <f t="array" aca="1" ref="A112" ca="1">"aK_PREC_1_" &amp; INDIRECT("F" &amp; ROW(C112) - 10) &amp; "_p"</f>
        <v>aK_PREC_1_1_5_p</v>
      </c>
      <c r="B112">
        <v>0</v>
      </c>
      <c r="C112" t="s">
        <v>4</v>
      </c>
    </row>
    <row r="113" spans="1:8" x14ac:dyDescent="0.25">
      <c r="A113" t="str" cm="1">
        <f t="array" aca="1" ref="A113" ca="1">"aK_PREC_2_" &amp; INDIRECT("F" &amp; ROW(C113) - 11) &amp; "_p"</f>
        <v>aK_PREC_2_1_5_p</v>
      </c>
      <c r="B113">
        <v>0</v>
      </c>
      <c r="C113" t="s">
        <v>5</v>
      </c>
    </row>
    <row r="114" spans="1:8" x14ac:dyDescent="0.25">
      <c r="A114" t="str" cm="1">
        <f t="array" aca="1" ref="A114" ca="1">"aK_PREC_3_" &amp; INDIRECT("F" &amp; ROW(C114) - 12) &amp; "_p"</f>
        <v>aK_PREC_3_1_5_p</v>
      </c>
      <c r="B114">
        <v>2</v>
      </c>
      <c r="C114" t="s">
        <v>6</v>
      </c>
    </row>
    <row r="115" spans="1:8" x14ac:dyDescent="0.25">
      <c r="A115" s="5" t="s">
        <v>9</v>
      </c>
      <c r="F115" s="27"/>
      <c r="G115" s="27"/>
      <c r="H115" s="27"/>
    </row>
    <row r="116" spans="1:8" x14ac:dyDescent="0.25">
      <c r="A116" t="str" cm="1">
        <f t="array" aca="1" ref="A116" ca="1">"aK_SL_1_" &amp; INDIRECT("F" &amp; ROW(C116) - 14) &amp; "_p"</f>
        <v>aK_SL_1_1_5_p</v>
      </c>
      <c r="B116">
        <v>0</v>
      </c>
      <c r="C116" t="s">
        <v>4</v>
      </c>
    </row>
    <row r="117" spans="1:8" x14ac:dyDescent="0.25">
      <c r="A117" t="str" cm="1">
        <f t="array" aca="1" ref="A117" ca="1">"aK_SL_2_" &amp; INDIRECT("F" &amp; ROW(C117) - 15) &amp; "_p"</f>
        <v>aK_SL_2_1_5_p</v>
      </c>
      <c r="B117">
        <v>0</v>
      </c>
      <c r="C117" t="s">
        <v>5</v>
      </c>
    </row>
    <row r="118" spans="1:8" x14ac:dyDescent="0.25">
      <c r="A118" t="str" cm="1">
        <f t="array" aca="1" ref="A118" ca="1">"aK_SL_3_" &amp; INDIRECT("F" &amp; ROW(C118) - 16) &amp; "_p"</f>
        <v>aK_SL_3_1_5_p</v>
      </c>
      <c r="B118">
        <v>2</v>
      </c>
      <c r="C118" t="s">
        <v>6</v>
      </c>
    </row>
    <row r="119" spans="1:8" x14ac:dyDescent="0.25">
      <c r="A119" s="5" t="s">
        <v>95</v>
      </c>
    </row>
    <row r="120" spans="1:8" x14ac:dyDescent="0.25">
      <c r="A120" t="str" cm="1">
        <f t="array" aca="1" ref="A120" ca="1">"aK_DRO_1_" &amp; INDIRECT("F" &amp; ROW(C120) - 18) &amp; "_p"</f>
        <v>aK_DRO_1_1_5_p</v>
      </c>
      <c r="B120">
        <v>0</v>
      </c>
      <c r="C120" t="s">
        <v>4</v>
      </c>
    </row>
    <row r="121" spans="1:8" x14ac:dyDescent="0.25">
      <c r="A121" t="str" cm="1">
        <f t="array" aca="1" ref="A121" ca="1">"aK_DRO_2_" &amp; INDIRECT("F" &amp; ROW(C121) - 19) &amp; "_p"</f>
        <v>aK_DRO_2_1_5_p</v>
      </c>
      <c r="B121">
        <v>0</v>
      </c>
      <c r="C121" t="s">
        <v>5</v>
      </c>
    </row>
    <row r="122" spans="1:8" x14ac:dyDescent="0.25">
      <c r="A122" t="str" cm="1">
        <f t="array" aca="1" ref="A122" ca="1">"aK_DRO_3_" &amp; INDIRECT("F" &amp; ROW(C122) - 20) &amp; "_p"</f>
        <v>aK_DRO_3_1_5_p</v>
      </c>
      <c r="B122">
        <v>2</v>
      </c>
      <c r="C122" t="s">
        <v>6</v>
      </c>
    </row>
    <row r="123" spans="1:8" x14ac:dyDescent="0.25">
      <c r="A123" s="5" t="s">
        <v>96</v>
      </c>
    </row>
    <row r="124" spans="1:8" x14ac:dyDescent="0.25">
      <c r="A124" t="str" cm="1">
        <f t="array" aca="1" ref="A124" ca="1">"aK_CYC_1_" &amp; INDIRECT("F" &amp; ROW(C124) - 22) &amp; "_p"</f>
        <v>aK_CYC_1_1_5_p</v>
      </c>
      <c r="B124">
        <v>0.1</v>
      </c>
      <c r="C124" t="s">
        <v>4</v>
      </c>
    </row>
    <row r="125" spans="1:8" x14ac:dyDescent="0.25">
      <c r="A125" t="str" cm="1">
        <f t="array" aca="1" ref="A125" ca="1">"aK_CYC_2_" &amp; INDIRECT("F" &amp; ROW(C125) - 23) &amp; "_p"</f>
        <v>aK_CYC_2_1_5_p</v>
      </c>
      <c r="B125">
        <v>0</v>
      </c>
      <c r="C125" t="s">
        <v>5</v>
      </c>
    </row>
    <row r="126" spans="1:8" x14ac:dyDescent="0.25">
      <c r="A126" t="str" cm="1">
        <f t="array" aca="1" ref="A126" ca="1">"aK_CYC_3_" &amp; INDIRECT("F" &amp; ROW(C126) - 24) &amp; "_p"</f>
        <v>aK_CYC_3_1_5_p</v>
      </c>
      <c r="B126">
        <v>2</v>
      </c>
      <c r="C126" t="s">
        <v>6</v>
      </c>
    </row>
    <row r="127" spans="1:8" x14ac:dyDescent="0.25">
      <c r="A127" s="26" t="str">
        <f>"sector " &amp; D127 &amp; " and region " &amp;E127</f>
        <v>sector 1 and region 6</v>
      </c>
      <c r="B127" s="26"/>
      <c r="C127" s="26"/>
      <c r="D127" s="24">
        <v>1</v>
      </c>
      <c r="E127" s="24">
        <v>6</v>
      </c>
      <c r="F127" s="24" t="str">
        <f>D127 &amp; "_" &amp; E127</f>
        <v>1_6</v>
      </c>
    </row>
    <row r="128" spans="1:8" x14ac:dyDescent="0.25">
      <c r="A128" s="5" t="s">
        <v>3</v>
      </c>
    </row>
    <row r="129" spans="1:8" x14ac:dyDescent="0.25">
      <c r="A129" t="str" cm="1">
        <f t="array" aca="1" ref="A129" ca="1">"aK_T_1_" &amp; INDIRECT("F" &amp; ROW(C129)-2) &amp; "_p"</f>
        <v>aK_T_1_1_6_p</v>
      </c>
      <c r="B129">
        <v>0</v>
      </c>
      <c r="C129" t="s">
        <v>4</v>
      </c>
    </row>
    <row r="130" spans="1:8" x14ac:dyDescent="0.25">
      <c r="A130" t="str" cm="1">
        <f t="array" aca="1" ref="A130" ca="1">"aK_T_2_" &amp; INDIRECT("F" &amp; ROW(C130)-3) &amp; "_p"</f>
        <v>aK_T_2_1_6_p</v>
      </c>
      <c r="B130">
        <v>0</v>
      </c>
      <c r="C130" t="s">
        <v>5</v>
      </c>
    </row>
    <row r="131" spans="1:8" x14ac:dyDescent="0.25">
      <c r="A131" t="str" cm="1">
        <f t="array" aca="1" ref="A131" ca="1">"aK_T_3_" &amp; INDIRECT("F" &amp; ROW(C131)-4) &amp; "_p"</f>
        <v>aK_T_3_1_6_p</v>
      </c>
      <c r="B131">
        <v>2</v>
      </c>
      <c r="C131" t="s">
        <v>6</v>
      </c>
    </row>
    <row r="132" spans="1:8" x14ac:dyDescent="0.25">
      <c r="A132" s="5" t="s">
        <v>8</v>
      </c>
    </row>
    <row r="133" spans="1:8" x14ac:dyDescent="0.25">
      <c r="A133" t="str" cm="1">
        <f t="array" aca="1" ref="A133" ca="1">"aK_WS_1_" &amp; INDIRECT("F" &amp; ROW(C133)-6) &amp; "_p"</f>
        <v>aK_WS_1_1_6_p</v>
      </c>
      <c r="B133">
        <v>0</v>
      </c>
      <c r="C133" t="s">
        <v>4</v>
      </c>
    </row>
    <row r="134" spans="1:8" x14ac:dyDescent="0.25">
      <c r="A134" t="str" cm="1">
        <f t="array" aca="1" ref="A134" ca="1">"aK_WS_2_" &amp; INDIRECT("F" &amp; ROW(C134)-7) &amp; "_p"</f>
        <v>aK_WS_2_1_6_p</v>
      </c>
      <c r="B134">
        <v>0</v>
      </c>
      <c r="C134" t="s">
        <v>5</v>
      </c>
    </row>
    <row r="135" spans="1:8" x14ac:dyDescent="0.25">
      <c r="A135" t="str" cm="1">
        <f t="array" aca="1" ref="A135" ca="1">"aK_WS_3_" &amp; INDIRECT("F" &amp; ROW(C135)-8) &amp; "_p"</f>
        <v>aK_WS_3_1_6_p</v>
      </c>
      <c r="B135">
        <v>2</v>
      </c>
      <c r="C135" t="s">
        <v>6</v>
      </c>
    </row>
    <row r="136" spans="1:8" x14ac:dyDescent="0.25">
      <c r="A136" s="5" t="s">
        <v>7</v>
      </c>
    </row>
    <row r="137" spans="1:8" x14ac:dyDescent="0.25">
      <c r="A137" t="str" cm="1">
        <f t="array" aca="1" ref="A137" ca="1">"aK_PREC_1_" &amp; INDIRECT("F" &amp; ROW(C137) - 10) &amp; "_p"</f>
        <v>aK_PREC_1_1_6_p</v>
      </c>
      <c r="B137">
        <v>0</v>
      </c>
      <c r="C137" t="s">
        <v>4</v>
      </c>
    </row>
    <row r="138" spans="1:8" x14ac:dyDescent="0.25">
      <c r="A138" t="str" cm="1">
        <f t="array" aca="1" ref="A138" ca="1">"aK_PREC_2_" &amp; INDIRECT("F" &amp; ROW(C138) - 11) &amp; "_p"</f>
        <v>aK_PREC_2_1_6_p</v>
      </c>
      <c r="B138">
        <v>0</v>
      </c>
      <c r="C138" t="s">
        <v>5</v>
      </c>
    </row>
    <row r="139" spans="1:8" x14ac:dyDescent="0.25">
      <c r="A139" t="str" cm="1">
        <f t="array" aca="1" ref="A139" ca="1">"aK_PREC_3_" &amp; INDIRECT("F" &amp; ROW(C139) - 12) &amp; "_p"</f>
        <v>aK_PREC_3_1_6_p</v>
      </c>
      <c r="B139">
        <v>2</v>
      </c>
      <c r="C139" t="s">
        <v>6</v>
      </c>
    </row>
    <row r="140" spans="1:8" x14ac:dyDescent="0.25">
      <c r="A140" s="5" t="s">
        <v>9</v>
      </c>
      <c r="F140" s="27"/>
      <c r="G140" s="27"/>
      <c r="H140" s="27"/>
    </row>
    <row r="141" spans="1:8" x14ac:dyDescent="0.25">
      <c r="A141" t="str" cm="1">
        <f t="array" aca="1" ref="A141" ca="1">"aK_SL_1_" &amp; INDIRECT("F" &amp; ROW(C141) - 14) &amp; "_p"</f>
        <v>aK_SL_1_1_6_p</v>
      </c>
      <c r="B141">
        <v>0</v>
      </c>
      <c r="C141" t="s">
        <v>4</v>
      </c>
    </row>
    <row r="142" spans="1:8" x14ac:dyDescent="0.25">
      <c r="A142" t="str" cm="1">
        <f t="array" aca="1" ref="A142" ca="1">"aK_SL_2_" &amp; INDIRECT("F" &amp; ROW(C142) - 15) &amp; "_p"</f>
        <v>aK_SL_2_1_6_p</v>
      </c>
      <c r="B142">
        <v>0</v>
      </c>
      <c r="C142" t="s">
        <v>5</v>
      </c>
    </row>
    <row r="143" spans="1:8" x14ac:dyDescent="0.25">
      <c r="A143" t="str" cm="1">
        <f t="array" aca="1" ref="A143" ca="1">"aK_SL_3_" &amp; INDIRECT("F" &amp; ROW(C143) - 16) &amp; "_p"</f>
        <v>aK_SL_3_1_6_p</v>
      </c>
      <c r="B143">
        <v>2</v>
      </c>
      <c r="C143" t="s">
        <v>6</v>
      </c>
    </row>
    <row r="144" spans="1:8" x14ac:dyDescent="0.25">
      <c r="A144" s="5" t="s">
        <v>95</v>
      </c>
    </row>
    <row r="145" spans="1:6" x14ac:dyDescent="0.25">
      <c r="A145" t="str" cm="1">
        <f t="array" aca="1" ref="A145" ca="1">"aK_DRO_1_" &amp; INDIRECT("F" &amp; ROW(C145) - 18) &amp; "_p"</f>
        <v>aK_DRO_1_1_6_p</v>
      </c>
      <c r="B145">
        <v>0</v>
      </c>
      <c r="C145" t="s">
        <v>4</v>
      </c>
    </row>
    <row r="146" spans="1:6" x14ac:dyDescent="0.25">
      <c r="A146" t="str" cm="1">
        <f t="array" aca="1" ref="A146" ca="1">"aK_DRO_2_" &amp; INDIRECT("F" &amp; ROW(C146) - 19) &amp; "_p"</f>
        <v>aK_DRO_2_1_6_p</v>
      </c>
      <c r="B146">
        <v>0</v>
      </c>
      <c r="C146" t="s">
        <v>5</v>
      </c>
    </row>
    <row r="147" spans="1:6" x14ac:dyDescent="0.25">
      <c r="A147" t="str" cm="1">
        <f t="array" aca="1" ref="A147" ca="1">"aK_DRO_3_" &amp; INDIRECT("F" &amp; ROW(C147) - 20) &amp; "_p"</f>
        <v>aK_DRO_3_1_6_p</v>
      </c>
      <c r="B147">
        <v>2</v>
      </c>
      <c r="C147" t="s">
        <v>6</v>
      </c>
    </row>
    <row r="148" spans="1:6" x14ac:dyDescent="0.25">
      <c r="A148" s="5" t="s">
        <v>96</v>
      </c>
    </row>
    <row r="149" spans="1:6" x14ac:dyDescent="0.25">
      <c r="A149" t="str" cm="1">
        <f t="array" aca="1" ref="A149" ca="1">"aK_CYC_1_" &amp; INDIRECT("F" &amp; ROW(C149) - 22) &amp; "_p"</f>
        <v>aK_CYC_1_1_6_p</v>
      </c>
      <c r="B149">
        <v>0.1</v>
      </c>
      <c r="C149" t="s">
        <v>4</v>
      </c>
    </row>
    <row r="150" spans="1:6" x14ac:dyDescent="0.25">
      <c r="A150" t="str" cm="1">
        <f t="array" aca="1" ref="A150" ca="1">"aK_CYC_2_" &amp; INDIRECT("F" &amp; ROW(C150) - 23) &amp; "_p"</f>
        <v>aK_CYC_2_1_6_p</v>
      </c>
      <c r="B150">
        <v>0</v>
      </c>
      <c r="C150" t="s">
        <v>5</v>
      </c>
    </row>
    <row r="151" spans="1:6" x14ac:dyDescent="0.25">
      <c r="A151" t="str" cm="1">
        <f t="array" aca="1" ref="A151" ca="1">"aK_CYC_3_" &amp; INDIRECT("F" &amp; ROW(C151) - 24) &amp; "_p"</f>
        <v>aK_CYC_3_1_6_p</v>
      </c>
      <c r="B151">
        <v>2</v>
      </c>
      <c r="C151" t="s">
        <v>6</v>
      </c>
    </row>
    <row r="152" spans="1:6" x14ac:dyDescent="0.25">
      <c r="A152" s="26" t="str">
        <f>"sector " &amp; D152 &amp; " and region " &amp;E152</f>
        <v>sector 2 and region 1</v>
      </c>
      <c r="B152" s="26"/>
      <c r="C152" s="26"/>
      <c r="D152" s="24">
        <v>2</v>
      </c>
      <c r="E152" s="24">
        <v>1</v>
      </c>
      <c r="F152" s="24" t="str">
        <f>D152 &amp; "_" &amp; E152</f>
        <v>2_1</v>
      </c>
    </row>
    <row r="153" spans="1:6" x14ac:dyDescent="0.25">
      <c r="A153" s="5" t="s">
        <v>3</v>
      </c>
    </row>
    <row r="154" spans="1:6" x14ac:dyDescent="0.25">
      <c r="A154" t="str" cm="1">
        <f t="array" aca="1" ref="A154" ca="1">"aK_T_1_" &amp; INDIRECT("F" &amp; ROW(C154)-2) &amp; "_p"</f>
        <v>aK_T_1_2_1_p</v>
      </c>
      <c r="B154">
        <v>0</v>
      </c>
      <c r="C154" t="s">
        <v>4</v>
      </c>
    </row>
    <row r="155" spans="1:6" x14ac:dyDescent="0.25">
      <c r="A155" t="str" cm="1">
        <f t="array" aca="1" ref="A155" ca="1">"aK_T_2_" &amp; INDIRECT("F" &amp; ROW(C155)-3) &amp; "_p"</f>
        <v>aK_T_2_2_1_p</v>
      </c>
      <c r="B155">
        <v>0</v>
      </c>
      <c r="C155" t="s">
        <v>5</v>
      </c>
    </row>
    <row r="156" spans="1:6" x14ac:dyDescent="0.25">
      <c r="A156" t="str" cm="1">
        <f t="array" aca="1" ref="A156" ca="1">"aK_T_3_" &amp; INDIRECT("F" &amp; ROW(C156)-4) &amp; "_p"</f>
        <v>aK_T_3_2_1_p</v>
      </c>
      <c r="B156">
        <v>2</v>
      </c>
      <c r="C156" t="s">
        <v>6</v>
      </c>
    </row>
    <row r="157" spans="1:6" x14ac:dyDescent="0.25">
      <c r="A157" s="5" t="s">
        <v>8</v>
      </c>
    </row>
    <row r="158" spans="1:6" x14ac:dyDescent="0.25">
      <c r="A158" t="str" cm="1">
        <f t="array" aca="1" ref="A158" ca="1">"aK_WS_1_" &amp; INDIRECT("F" &amp; ROW(C158)-6) &amp; "_p"</f>
        <v>aK_WS_1_2_1_p</v>
      </c>
      <c r="B158">
        <v>0</v>
      </c>
      <c r="C158" t="s">
        <v>4</v>
      </c>
    </row>
    <row r="159" spans="1:6" x14ac:dyDescent="0.25">
      <c r="A159" t="str" cm="1">
        <f t="array" aca="1" ref="A159" ca="1">"aK_WS_2_" &amp; INDIRECT("F" &amp; ROW(C159)-7) &amp; "_p"</f>
        <v>aK_WS_2_2_1_p</v>
      </c>
      <c r="B159">
        <v>0</v>
      </c>
      <c r="C159" t="s">
        <v>5</v>
      </c>
    </row>
    <row r="160" spans="1:6" x14ac:dyDescent="0.25">
      <c r="A160" t="str" cm="1">
        <f t="array" aca="1" ref="A160" ca="1">"aK_WS_3_" &amp; INDIRECT("F" &amp; ROW(C160)-8) &amp; "_p"</f>
        <v>aK_WS_3_2_1_p</v>
      </c>
      <c r="B160">
        <v>2</v>
      </c>
      <c r="C160" t="s">
        <v>6</v>
      </c>
    </row>
    <row r="161" spans="1:8" x14ac:dyDescent="0.25">
      <c r="A161" s="5" t="s">
        <v>7</v>
      </c>
      <c r="F161" s="27"/>
      <c r="G161" s="27"/>
      <c r="H161" s="27"/>
    </row>
    <row r="162" spans="1:8" x14ac:dyDescent="0.25">
      <c r="A162" t="str" cm="1">
        <f t="array" aca="1" ref="A162" ca="1">"aK_PREC_1_" &amp; INDIRECT("F" &amp; ROW(C162) - 10) &amp; "_p"</f>
        <v>aK_PREC_1_2_1_p</v>
      </c>
      <c r="B162">
        <v>0</v>
      </c>
      <c r="C162" t="s">
        <v>4</v>
      </c>
    </row>
    <row r="163" spans="1:8" x14ac:dyDescent="0.25">
      <c r="A163" t="str" cm="1">
        <f t="array" aca="1" ref="A163" ca="1">"aK_PREC_2_" &amp; INDIRECT("F" &amp; ROW(C163) - 11) &amp; "_p"</f>
        <v>aK_PREC_2_2_1_p</v>
      </c>
      <c r="B163">
        <v>0</v>
      </c>
      <c r="C163" t="s">
        <v>5</v>
      </c>
    </row>
    <row r="164" spans="1:8" x14ac:dyDescent="0.25">
      <c r="A164" t="str" cm="1">
        <f t="array" aca="1" ref="A164" ca="1">"aK_PREC_3_" &amp; INDIRECT("F" &amp; ROW(C164) - 12) &amp; "_p"</f>
        <v>aK_PREC_3_2_1_p</v>
      </c>
      <c r="B164">
        <v>2</v>
      </c>
      <c r="C164" t="s">
        <v>6</v>
      </c>
    </row>
    <row r="165" spans="1:8" x14ac:dyDescent="0.25">
      <c r="A165" s="5" t="s">
        <v>9</v>
      </c>
      <c r="F165" s="27"/>
      <c r="G165" s="27"/>
      <c r="H165" s="27"/>
    </row>
    <row r="166" spans="1:8" x14ac:dyDescent="0.25">
      <c r="A166" t="str" cm="1">
        <f t="array" aca="1" ref="A166" ca="1">"aK_SL_1_" &amp; INDIRECT("F" &amp; ROW(C166) - 14) &amp; "_p"</f>
        <v>aK_SL_1_2_1_p</v>
      </c>
      <c r="B166">
        <v>0</v>
      </c>
      <c r="C166" t="s">
        <v>4</v>
      </c>
    </row>
    <row r="167" spans="1:8" x14ac:dyDescent="0.25">
      <c r="A167" t="str" cm="1">
        <f t="array" aca="1" ref="A167" ca="1">"aK_SL_2_" &amp; INDIRECT("F" &amp; ROW(C167) - 15) &amp; "_p"</f>
        <v>aK_SL_2_2_1_p</v>
      </c>
      <c r="B167">
        <v>0</v>
      </c>
      <c r="C167" t="s">
        <v>5</v>
      </c>
    </row>
    <row r="168" spans="1:8" x14ac:dyDescent="0.25">
      <c r="A168" t="str" cm="1">
        <f t="array" aca="1" ref="A168" ca="1">"aK_SL_3_" &amp; INDIRECT("F" &amp; ROW(C168) - 16) &amp; "_p"</f>
        <v>aK_SL_3_2_1_p</v>
      </c>
      <c r="B168">
        <v>2</v>
      </c>
      <c r="C168" t="s">
        <v>6</v>
      </c>
    </row>
    <row r="169" spans="1:8" x14ac:dyDescent="0.25">
      <c r="A169" s="5" t="s">
        <v>95</v>
      </c>
    </row>
    <row r="170" spans="1:8" x14ac:dyDescent="0.25">
      <c r="A170" t="str" cm="1">
        <f t="array" aca="1" ref="A170" ca="1">"aK_DRO_1_" &amp; INDIRECT("F" &amp; ROW(C170) - 18) &amp; "_p"</f>
        <v>aK_DRO_1_2_1_p</v>
      </c>
      <c r="B170">
        <v>0</v>
      </c>
      <c r="C170" t="s">
        <v>4</v>
      </c>
    </row>
    <row r="171" spans="1:8" x14ac:dyDescent="0.25">
      <c r="A171" t="str" cm="1">
        <f t="array" aca="1" ref="A171" ca="1">"aK_DRO_2_" &amp; INDIRECT("F" &amp; ROW(C171) - 19) &amp; "_p"</f>
        <v>aK_DRO_2_2_1_p</v>
      </c>
      <c r="B171">
        <v>0</v>
      </c>
      <c r="C171" t="s">
        <v>5</v>
      </c>
    </row>
    <row r="172" spans="1:8" x14ac:dyDescent="0.25">
      <c r="A172" t="str" cm="1">
        <f t="array" aca="1" ref="A172" ca="1">"aK_DRO_3_" &amp; INDIRECT("F" &amp; ROW(C172) - 20) &amp; "_p"</f>
        <v>aK_DRO_3_2_1_p</v>
      </c>
      <c r="B172">
        <v>2</v>
      </c>
      <c r="C172" t="s">
        <v>6</v>
      </c>
    </row>
    <row r="173" spans="1:8" x14ac:dyDescent="0.25">
      <c r="A173" s="5" t="s">
        <v>96</v>
      </c>
    </row>
    <row r="174" spans="1:8" x14ac:dyDescent="0.25">
      <c r="A174" t="str" cm="1">
        <f t="array" aca="1" ref="A174" ca="1">"aK_CYC_1_" &amp; INDIRECT("F" &amp; ROW(C174) - 22) &amp; "_p"</f>
        <v>aK_CYC_1_2_1_p</v>
      </c>
      <c r="B174">
        <v>0.1</v>
      </c>
      <c r="C174" t="s">
        <v>4</v>
      </c>
    </row>
    <row r="175" spans="1:8" x14ac:dyDescent="0.25">
      <c r="A175" t="str" cm="1">
        <f t="array" aca="1" ref="A175" ca="1">"aK_CYC_2_" &amp; INDIRECT("F" &amp; ROW(C175) - 23) &amp; "_p"</f>
        <v>aK_CYC_2_2_1_p</v>
      </c>
      <c r="B175">
        <v>0</v>
      </c>
      <c r="C175" t="s">
        <v>5</v>
      </c>
    </row>
    <row r="176" spans="1:8" x14ac:dyDescent="0.25">
      <c r="A176" t="str" cm="1">
        <f t="array" aca="1" ref="A176" ca="1">"aK_CYC_3_" &amp; INDIRECT("F" &amp; ROW(C176) - 24) &amp; "_p"</f>
        <v>aK_CYC_3_2_1_p</v>
      </c>
      <c r="B176">
        <v>2</v>
      </c>
      <c r="C176" t="s">
        <v>6</v>
      </c>
    </row>
    <row r="177" spans="1:8" x14ac:dyDescent="0.25">
      <c r="A177" s="26" t="str">
        <f>"sector " &amp; D177 &amp; " and region " &amp;E177</f>
        <v>sector 2 and region 2</v>
      </c>
      <c r="B177" s="26"/>
      <c r="C177" s="26"/>
      <c r="D177" s="24">
        <v>2</v>
      </c>
      <c r="E177" s="24">
        <v>2</v>
      </c>
      <c r="F177" s="24" t="str">
        <f>D177 &amp; "_" &amp; E177</f>
        <v>2_2</v>
      </c>
    </row>
    <row r="178" spans="1:8" x14ac:dyDescent="0.25">
      <c r="A178" s="5" t="s">
        <v>3</v>
      </c>
    </row>
    <row r="179" spans="1:8" x14ac:dyDescent="0.25">
      <c r="A179" t="str" cm="1">
        <f t="array" aca="1" ref="A179" ca="1">"aK_T_1_" &amp; INDIRECT("F" &amp; ROW(C179)-2) &amp; "_p"</f>
        <v>aK_T_1_2_2_p</v>
      </c>
      <c r="B179">
        <v>0</v>
      </c>
      <c r="C179" t="s">
        <v>4</v>
      </c>
    </row>
    <row r="180" spans="1:8" x14ac:dyDescent="0.25">
      <c r="A180" t="str" cm="1">
        <f t="array" aca="1" ref="A180" ca="1">"aK_T_2_" &amp; INDIRECT("F" &amp; ROW(C180)-3) &amp; "_p"</f>
        <v>aK_T_2_2_2_p</v>
      </c>
      <c r="B180">
        <v>0</v>
      </c>
      <c r="C180" t="s">
        <v>5</v>
      </c>
    </row>
    <row r="181" spans="1:8" x14ac:dyDescent="0.25">
      <c r="A181" t="str" cm="1">
        <f t="array" aca="1" ref="A181" ca="1">"aK_T_3_" &amp; INDIRECT("F" &amp; ROW(C181)-4) &amp; "_p"</f>
        <v>aK_T_3_2_2_p</v>
      </c>
      <c r="B181">
        <v>2</v>
      </c>
      <c r="C181" t="s">
        <v>6</v>
      </c>
    </row>
    <row r="182" spans="1:8" x14ac:dyDescent="0.25">
      <c r="A182" s="5" t="s">
        <v>8</v>
      </c>
    </row>
    <row r="183" spans="1:8" x14ac:dyDescent="0.25">
      <c r="A183" t="str" cm="1">
        <f t="array" aca="1" ref="A183" ca="1">"aK_WS_1_" &amp; INDIRECT("F" &amp; ROW(C183)-6) &amp; "_p"</f>
        <v>aK_WS_1_2_2_p</v>
      </c>
      <c r="B183">
        <v>0</v>
      </c>
      <c r="C183" t="s">
        <v>4</v>
      </c>
    </row>
    <row r="184" spans="1:8" x14ac:dyDescent="0.25">
      <c r="A184" t="str" cm="1">
        <f t="array" aca="1" ref="A184" ca="1">"aK_WS_2_" &amp; INDIRECT("F" &amp; ROW(C184)-7) &amp; "_p"</f>
        <v>aK_WS_2_2_2_p</v>
      </c>
      <c r="B184">
        <v>0</v>
      </c>
      <c r="C184" t="s">
        <v>5</v>
      </c>
    </row>
    <row r="185" spans="1:8" x14ac:dyDescent="0.25">
      <c r="A185" t="str" cm="1">
        <f t="array" aca="1" ref="A185" ca="1">"aK_WS_3_" &amp; INDIRECT("F" &amp; ROW(C185)-8) &amp; "_p"</f>
        <v>aK_WS_3_2_2_p</v>
      </c>
      <c r="B185">
        <v>2</v>
      </c>
      <c r="C185" t="s">
        <v>6</v>
      </c>
    </row>
    <row r="186" spans="1:8" x14ac:dyDescent="0.25">
      <c r="A186" s="5" t="s">
        <v>7</v>
      </c>
      <c r="F186" s="27"/>
      <c r="G186" s="27"/>
      <c r="H186" s="27"/>
    </row>
    <row r="187" spans="1:8" x14ac:dyDescent="0.25">
      <c r="A187" t="str" cm="1">
        <f t="array" aca="1" ref="A187" ca="1">"aK_PREC_1_" &amp; INDIRECT("F" &amp; ROW(C187) - 10) &amp; "_p"</f>
        <v>aK_PREC_1_2_2_p</v>
      </c>
      <c r="B187">
        <v>0</v>
      </c>
      <c r="C187" t="s">
        <v>4</v>
      </c>
    </row>
    <row r="188" spans="1:8" x14ac:dyDescent="0.25">
      <c r="A188" t="str" cm="1">
        <f t="array" aca="1" ref="A188" ca="1">"aK_PREC_2_" &amp; INDIRECT("F" &amp; ROW(C188) - 11) &amp; "_p"</f>
        <v>aK_PREC_2_2_2_p</v>
      </c>
      <c r="B188">
        <v>0</v>
      </c>
      <c r="C188" t="s">
        <v>5</v>
      </c>
    </row>
    <row r="189" spans="1:8" x14ac:dyDescent="0.25">
      <c r="A189" t="str" cm="1">
        <f t="array" aca="1" ref="A189" ca="1">"aK_PREC_3_" &amp; INDIRECT("F" &amp; ROW(C189) - 12) &amp; "_p"</f>
        <v>aK_PREC_3_2_2_p</v>
      </c>
      <c r="B189">
        <v>2</v>
      </c>
      <c r="C189" t="s">
        <v>6</v>
      </c>
    </row>
    <row r="190" spans="1:8" x14ac:dyDescent="0.25">
      <c r="A190" s="5" t="s">
        <v>9</v>
      </c>
      <c r="F190" s="27"/>
      <c r="G190" s="27"/>
      <c r="H190" s="27"/>
    </row>
    <row r="191" spans="1:8" x14ac:dyDescent="0.25">
      <c r="A191" t="str" cm="1">
        <f t="array" aca="1" ref="A191" ca="1">"aK_SL_1_" &amp; INDIRECT("F" &amp; ROW(C191) - 14) &amp; "_p"</f>
        <v>aK_SL_1_2_2_p</v>
      </c>
      <c r="B191">
        <v>0</v>
      </c>
      <c r="C191" t="s">
        <v>4</v>
      </c>
    </row>
    <row r="192" spans="1:8" x14ac:dyDescent="0.25">
      <c r="A192" t="str" cm="1">
        <f t="array" aca="1" ref="A192" ca="1">"aK_SL_2_" &amp; INDIRECT("F" &amp; ROW(C192) - 15) &amp; "_p"</f>
        <v>aK_SL_2_2_2_p</v>
      </c>
      <c r="B192">
        <v>0</v>
      </c>
      <c r="C192" t="s">
        <v>5</v>
      </c>
    </row>
    <row r="193" spans="1:6" x14ac:dyDescent="0.25">
      <c r="A193" t="str" cm="1">
        <f t="array" aca="1" ref="A193" ca="1">"aK_SL_3_" &amp; INDIRECT("F" &amp; ROW(C193) - 16) &amp; "_p"</f>
        <v>aK_SL_3_2_2_p</v>
      </c>
      <c r="B193">
        <v>2</v>
      </c>
      <c r="C193" t="s">
        <v>6</v>
      </c>
    </row>
    <row r="194" spans="1:6" x14ac:dyDescent="0.25">
      <c r="A194" s="5" t="s">
        <v>95</v>
      </c>
    </row>
    <row r="195" spans="1:6" x14ac:dyDescent="0.25">
      <c r="A195" t="str" cm="1">
        <f t="array" aca="1" ref="A195" ca="1">"aK_DRO_1_" &amp; INDIRECT("F" &amp; ROW(C195) - 18) &amp; "_p"</f>
        <v>aK_DRO_1_2_2_p</v>
      </c>
      <c r="B195">
        <v>0</v>
      </c>
      <c r="C195" t="s">
        <v>4</v>
      </c>
    </row>
    <row r="196" spans="1:6" x14ac:dyDescent="0.25">
      <c r="A196" t="str" cm="1">
        <f t="array" aca="1" ref="A196" ca="1">"aK_DRO_2_" &amp; INDIRECT("F" &amp; ROW(C196) - 19) &amp; "_p"</f>
        <v>aK_DRO_2_2_2_p</v>
      </c>
      <c r="B196">
        <v>0</v>
      </c>
      <c r="C196" t="s">
        <v>5</v>
      </c>
    </row>
    <row r="197" spans="1:6" x14ac:dyDescent="0.25">
      <c r="A197" t="str" cm="1">
        <f t="array" aca="1" ref="A197" ca="1">"aK_DRO_3_" &amp; INDIRECT("F" &amp; ROW(C197) - 20) &amp; "_p"</f>
        <v>aK_DRO_3_2_2_p</v>
      </c>
      <c r="B197">
        <v>2</v>
      </c>
      <c r="C197" t="s">
        <v>6</v>
      </c>
    </row>
    <row r="198" spans="1:6" x14ac:dyDescent="0.25">
      <c r="A198" s="5" t="s">
        <v>96</v>
      </c>
    </row>
    <row r="199" spans="1:6" x14ac:dyDescent="0.25">
      <c r="A199" t="str" cm="1">
        <f t="array" aca="1" ref="A199" ca="1">"aK_CYC_1_" &amp; INDIRECT("F" &amp; ROW(C199) - 22) &amp; "_p"</f>
        <v>aK_CYC_1_2_2_p</v>
      </c>
      <c r="B199">
        <v>0.1</v>
      </c>
      <c r="C199" t="s">
        <v>4</v>
      </c>
    </row>
    <row r="200" spans="1:6" x14ac:dyDescent="0.25">
      <c r="A200" t="str" cm="1">
        <f t="array" aca="1" ref="A200" ca="1">"aK_CYC_2_" &amp; INDIRECT("F" &amp; ROW(C200) - 23) &amp; "_p"</f>
        <v>aK_CYC_2_2_2_p</v>
      </c>
      <c r="B200">
        <v>0</v>
      </c>
      <c r="C200" t="s">
        <v>5</v>
      </c>
    </row>
    <row r="201" spans="1:6" x14ac:dyDescent="0.25">
      <c r="A201" t="str" cm="1">
        <f t="array" aca="1" ref="A201" ca="1">"aK_CYC_3_" &amp; INDIRECT("F" &amp; ROW(C201) - 24) &amp; "_p"</f>
        <v>aK_CYC_3_2_2_p</v>
      </c>
      <c r="B201">
        <v>2</v>
      </c>
      <c r="C201" t="s">
        <v>6</v>
      </c>
    </row>
    <row r="202" spans="1:6" x14ac:dyDescent="0.25">
      <c r="A202" s="26" t="str">
        <f>"sector " &amp; D202 &amp; " and region " &amp;E202</f>
        <v>sector 2 and region 3</v>
      </c>
      <c r="B202" s="26"/>
      <c r="C202" s="26"/>
      <c r="D202" s="24">
        <v>2</v>
      </c>
      <c r="E202" s="24">
        <v>3</v>
      </c>
      <c r="F202" s="24" t="str">
        <f>D202 &amp; "_" &amp; E202</f>
        <v>2_3</v>
      </c>
    </row>
    <row r="203" spans="1:6" x14ac:dyDescent="0.25">
      <c r="A203" s="5" t="s">
        <v>3</v>
      </c>
    </row>
    <row r="204" spans="1:6" x14ac:dyDescent="0.25">
      <c r="A204" t="str" cm="1">
        <f t="array" aca="1" ref="A204" ca="1">"aK_T_1_" &amp; INDIRECT("F" &amp; ROW(C204)-2) &amp; "_p"</f>
        <v>aK_T_1_2_3_p</v>
      </c>
      <c r="B204">
        <v>0</v>
      </c>
      <c r="C204" t="s">
        <v>4</v>
      </c>
    </row>
    <row r="205" spans="1:6" x14ac:dyDescent="0.25">
      <c r="A205" t="str" cm="1">
        <f t="array" aca="1" ref="A205" ca="1">"aK_T_2_" &amp; INDIRECT("F" &amp; ROW(C205)-3) &amp; "_p"</f>
        <v>aK_T_2_2_3_p</v>
      </c>
      <c r="B205">
        <v>0</v>
      </c>
      <c r="C205" t="s">
        <v>5</v>
      </c>
    </row>
    <row r="206" spans="1:6" x14ac:dyDescent="0.25">
      <c r="A206" t="str" cm="1">
        <f t="array" aca="1" ref="A206" ca="1">"aK_T_3_" &amp; INDIRECT("F" &amp; ROW(C206)-4) &amp; "_p"</f>
        <v>aK_T_3_2_3_p</v>
      </c>
      <c r="B206">
        <v>2</v>
      </c>
      <c r="C206" t="s">
        <v>6</v>
      </c>
    </row>
    <row r="207" spans="1:6" x14ac:dyDescent="0.25">
      <c r="A207" s="5" t="s">
        <v>8</v>
      </c>
    </row>
    <row r="208" spans="1:6" x14ac:dyDescent="0.25">
      <c r="A208" t="str" cm="1">
        <f t="array" aca="1" ref="A208" ca="1">"aK_WS_1_" &amp; INDIRECT("F" &amp; ROW(C208)-6) &amp; "_p"</f>
        <v>aK_WS_1_2_3_p</v>
      </c>
      <c r="B208">
        <v>0</v>
      </c>
      <c r="C208" t="s">
        <v>4</v>
      </c>
    </row>
    <row r="209" spans="1:8" x14ac:dyDescent="0.25">
      <c r="A209" t="str" cm="1">
        <f t="array" aca="1" ref="A209" ca="1">"aK_WS_2_" &amp; INDIRECT("F" &amp; ROW(C209)-7) &amp; "_p"</f>
        <v>aK_WS_2_2_3_p</v>
      </c>
      <c r="B209">
        <v>0</v>
      </c>
      <c r="C209" t="s">
        <v>5</v>
      </c>
    </row>
    <row r="210" spans="1:8" x14ac:dyDescent="0.25">
      <c r="A210" t="str" cm="1">
        <f t="array" aca="1" ref="A210" ca="1">"aK_WS_3_" &amp; INDIRECT("F" &amp; ROW(C210)-8) &amp; "_p"</f>
        <v>aK_WS_3_2_3_p</v>
      </c>
      <c r="B210">
        <v>2</v>
      </c>
      <c r="C210" t="s">
        <v>6</v>
      </c>
    </row>
    <row r="211" spans="1:8" x14ac:dyDescent="0.25">
      <c r="A211" s="5" t="s">
        <v>7</v>
      </c>
      <c r="F211" s="27"/>
      <c r="G211" s="27"/>
      <c r="H211" s="27"/>
    </row>
    <row r="212" spans="1:8" x14ac:dyDescent="0.25">
      <c r="A212" t="str" cm="1">
        <f t="array" aca="1" ref="A212" ca="1">"aK_PREC_1_" &amp; INDIRECT("F" &amp; ROW(C212) - 10) &amp; "_p"</f>
        <v>aK_PREC_1_2_3_p</v>
      </c>
      <c r="B212">
        <v>0</v>
      </c>
      <c r="C212" t="s">
        <v>4</v>
      </c>
    </row>
    <row r="213" spans="1:8" x14ac:dyDescent="0.25">
      <c r="A213" t="str" cm="1">
        <f t="array" aca="1" ref="A213" ca="1">"aK_PREC_2_" &amp; INDIRECT("F" &amp; ROW(C213) - 11) &amp; "_p"</f>
        <v>aK_PREC_2_2_3_p</v>
      </c>
      <c r="B213">
        <v>0</v>
      </c>
      <c r="C213" t="s">
        <v>5</v>
      </c>
    </row>
    <row r="214" spans="1:8" x14ac:dyDescent="0.25">
      <c r="A214" t="str" cm="1">
        <f t="array" aca="1" ref="A214" ca="1">"aK_PREC_3_" &amp; INDIRECT("F" &amp; ROW(C214) - 12) &amp; "_p"</f>
        <v>aK_PREC_3_2_3_p</v>
      </c>
      <c r="B214">
        <v>2</v>
      </c>
      <c r="C214" t="s">
        <v>6</v>
      </c>
    </row>
    <row r="215" spans="1:8" x14ac:dyDescent="0.25">
      <c r="A215" s="5" t="s">
        <v>9</v>
      </c>
      <c r="F215" s="27"/>
      <c r="G215" s="27"/>
      <c r="H215" s="27"/>
    </row>
    <row r="216" spans="1:8" x14ac:dyDescent="0.25">
      <c r="A216" t="str" cm="1">
        <f t="array" aca="1" ref="A216" ca="1">"aK_SL_1_" &amp; INDIRECT("F" &amp; ROW(C216) - 14) &amp; "_p"</f>
        <v>aK_SL_1_2_3_p</v>
      </c>
      <c r="B216">
        <v>0</v>
      </c>
      <c r="C216" t="s">
        <v>4</v>
      </c>
    </row>
    <row r="217" spans="1:8" x14ac:dyDescent="0.25">
      <c r="A217" t="str" cm="1">
        <f t="array" aca="1" ref="A217" ca="1">"aK_SL_2_" &amp; INDIRECT("F" &amp; ROW(C217) - 15) &amp; "_p"</f>
        <v>aK_SL_2_2_3_p</v>
      </c>
      <c r="B217">
        <v>0</v>
      </c>
      <c r="C217" t="s">
        <v>5</v>
      </c>
    </row>
    <row r="218" spans="1:8" x14ac:dyDescent="0.25">
      <c r="A218" t="str" cm="1">
        <f t="array" aca="1" ref="A218" ca="1">"aK_SL_3_" &amp; INDIRECT("F" &amp; ROW(C218) - 16) &amp; "_p"</f>
        <v>aK_SL_3_2_3_p</v>
      </c>
      <c r="B218">
        <v>2</v>
      </c>
      <c r="C218" t="s">
        <v>6</v>
      </c>
    </row>
    <row r="219" spans="1:8" x14ac:dyDescent="0.25">
      <c r="A219" s="5" t="s">
        <v>95</v>
      </c>
    </row>
    <row r="220" spans="1:8" x14ac:dyDescent="0.25">
      <c r="A220" t="str" cm="1">
        <f t="array" aca="1" ref="A220" ca="1">"aK_DRO_1_" &amp; INDIRECT("F" &amp; ROW(C220) - 18) &amp; "_p"</f>
        <v>aK_DRO_1_2_3_p</v>
      </c>
      <c r="B220">
        <v>0</v>
      </c>
      <c r="C220" t="s">
        <v>4</v>
      </c>
    </row>
    <row r="221" spans="1:8" x14ac:dyDescent="0.25">
      <c r="A221" t="str" cm="1">
        <f t="array" aca="1" ref="A221" ca="1">"aK_DRO_2_" &amp; INDIRECT("F" &amp; ROW(C221) - 19) &amp; "_p"</f>
        <v>aK_DRO_2_2_3_p</v>
      </c>
      <c r="B221">
        <v>0</v>
      </c>
      <c r="C221" t="s">
        <v>5</v>
      </c>
    </row>
    <row r="222" spans="1:8" x14ac:dyDescent="0.25">
      <c r="A222" t="str" cm="1">
        <f t="array" aca="1" ref="A222" ca="1">"aK_DRO_3_" &amp; INDIRECT("F" &amp; ROW(C222) - 20) &amp; "_p"</f>
        <v>aK_DRO_3_2_3_p</v>
      </c>
      <c r="B222">
        <v>2</v>
      </c>
      <c r="C222" t="s">
        <v>6</v>
      </c>
    </row>
    <row r="223" spans="1:8" x14ac:dyDescent="0.25">
      <c r="A223" s="5" t="s">
        <v>96</v>
      </c>
    </row>
    <row r="224" spans="1:8" x14ac:dyDescent="0.25">
      <c r="A224" t="str" cm="1">
        <f t="array" aca="1" ref="A224" ca="1">"aK_CYC_1_" &amp; INDIRECT("F" &amp; ROW(C224) - 22) &amp; "_p"</f>
        <v>aK_CYC_1_2_3_p</v>
      </c>
      <c r="B224">
        <v>0.1</v>
      </c>
      <c r="C224" t="s">
        <v>4</v>
      </c>
    </row>
    <row r="225" spans="1:8" x14ac:dyDescent="0.25">
      <c r="A225" t="str" cm="1">
        <f t="array" aca="1" ref="A225" ca="1">"aK_CYC_2_" &amp; INDIRECT("F" &amp; ROW(C225) - 23) &amp; "_p"</f>
        <v>aK_CYC_2_2_3_p</v>
      </c>
      <c r="B225">
        <v>0</v>
      </c>
      <c r="C225" t="s">
        <v>5</v>
      </c>
    </row>
    <row r="226" spans="1:8" x14ac:dyDescent="0.25">
      <c r="A226" t="str" cm="1">
        <f t="array" aca="1" ref="A226" ca="1">"aK_CYC_3_" &amp; INDIRECT("F" &amp; ROW(C226) - 24) &amp; "_p"</f>
        <v>aK_CYC_3_2_3_p</v>
      </c>
      <c r="B226">
        <v>2</v>
      </c>
      <c r="C226" t="s">
        <v>6</v>
      </c>
    </row>
    <row r="227" spans="1:8" x14ac:dyDescent="0.25">
      <c r="A227" s="26" t="str">
        <f>"sector " &amp; D227 &amp; " and region " &amp;E227</f>
        <v>sector 2 and region 4</v>
      </c>
      <c r="B227" s="26"/>
      <c r="C227" s="26"/>
      <c r="D227" s="24">
        <v>2</v>
      </c>
      <c r="E227" s="24">
        <v>4</v>
      </c>
      <c r="F227" s="24" t="str">
        <f>D227 &amp; "_" &amp; E227</f>
        <v>2_4</v>
      </c>
    </row>
    <row r="228" spans="1:8" x14ac:dyDescent="0.25">
      <c r="A228" s="5" t="s">
        <v>3</v>
      </c>
    </row>
    <row r="229" spans="1:8" x14ac:dyDescent="0.25">
      <c r="A229" t="str" cm="1">
        <f t="array" aca="1" ref="A229" ca="1">"aK_T_1_" &amp; INDIRECT("F" &amp; ROW(C229)-2) &amp; "_p"</f>
        <v>aK_T_1_2_4_p</v>
      </c>
      <c r="B229">
        <v>0</v>
      </c>
      <c r="C229" t="s">
        <v>4</v>
      </c>
    </row>
    <row r="230" spans="1:8" x14ac:dyDescent="0.25">
      <c r="A230" t="str" cm="1">
        <f t="array" aca="1" ref="A230" ca="1">"aK_T_2_" &amp; INDIRECT("F" &amp; ROW(C230)-3) &amp; "_p"</f>
        <v>aK_T_2_2_4_p</v>
      </c>
      <c r="B230">
        <v>0</v>
      </c>
      <c r="C230" t="s">
        <v>5</v>
      </c>
    </row>
    <row r="231" spans="1:8" x14ac:dyDescent="0.25">
      <c r="A231" t="str" cm="1">
        <f t="array" aca="1" ref="A231" ca="1">"aK_T_3_" &amp; INDIRECT("F" &amp; ROW(C231)-4) &amp; "_p"</f>
        <v>aK_T_3_2_4_p</v>
      </c>
      <c r="B231">
        <v>2</v>
      </c>
      <c r="C231" t="s">
        <v>6</v>
      </c>
    </row>
    <row r="232" spans="1:8" x14ac:dyDescent="0.25">
      <c r="A232" s="5" t="s">
        <v>8</v>
      </c>
    </row>
    <row r="233" spans="1:8" x14ac:dyDescent="0.25">
      <c r="A233" t="str" cm="1">
        <f t="array" aca="1" ref="A233" ca="1">"aK_WS_1_" &amp; INDIRECT("F" &amp; ROW(C233)-6) &amp; "_p"</f>
        <v>aK_WS_1_2_4_p</v>
      </c>
      <c r="B233">
        <v>0</v>
      </c>
      <c r="C233" t="s">
        <v>4</v>
      </c>
    </row>
    <row r="234" spans="1:8" x14ac:dyDescent="0.25">
      <c r="A234" t="str" cm="1">
        <f t="array" aca="1" ref="A234" ca="1">"aK_WS_2_" &amp; INDIRECT("F" &amp; ROW(C234)-7) &amp; "_p"</f>
        <v>aK_WS_2_2_4_p</v>
      </c>
      <c r="B234">
        <v>0</v>
      </c>
      <c r="C234" t="s">
        <v>5</v>
      </c>
    </row>
    <row r="235" spans="1:8" x14ac:dyDescent="0.25">
      <c r="A235" t="str" cm="1">
        <f t="array" aca="1" ref="A235" ca="1">"aK_WS_3_" &amp; INDIRECT("F" &amp; ROW(C235)-8) &amp; "_p"</f>
        <v>aK_WS_3_2_4_p</v>
      </c>
      <c r="B235">
        <v>2</v>
      </c>
      <c r="C235" t="s">
        <v>6</v>
      </c>
    </row>
    <row r="236" spans="1:8" x14ac:dyDescent="0.25">
      <c r="A236" s="5" t="s">
        <v>7</v>
      </c>
      <c r="F236" s="27"/>
      <c r="G236" s="27"/>
      <c r="H236" s="27"/>
    </row>
    <row r="237" spans="1:8" x14ac:dyDescent="0.25">
      <c r="A237" t="str" cm="1">
        <f t="array" aca="1" ref="A237" ca="1">"aK_PREC_1_" &amp; INDIRECT("F" &amp; ROW(C237) - 10) &amp; "_p"</f>
        <v>aK_PREC_1_2_4_p</v>
      </c>
      <c r="B237">
        <v>0</v>
      </c>
      <c r="C237" t="s">
        <v>4</v>
      </c>
    </row>
    <row r="238" spans="1:8" x14ac:dyDescent="0.25">
      <c r="A238" t="str" cm="1">
        <f t="array" aca="1" ref="A238" ca="1">"aK_PREC_2_" &amp; INDIRECT("F" &amp; ROW(C238) - 11) &amp; "_p"</f>
        <v>aK_PREC_2_2_4_p</v>
      </c>
      <c r="B238">
        <v>0</v>
      </c>
      <c r="C238" t="s">
        <v>5</v>
      </c>
    </row>
    <row r="239" spans="1:8" x14ac:dyDescent="0.25">
      <c r="A239" t="str" cm="1">
        <f t="array" aca="1" ref="A239" ca="1">"aK_PREC_3_" &amp; INDIRECT("F" &amp; ROW(C239) - 12) &amp; "_p"</f>
        <v>aK_PREC_3_2_4_p</v>
      </c>
      <c r="B239">
        <v>2</v>
      </c>
      <c r="C239" t="s">
        <v>6</v>
      </c>
    </row>
    <row r="240" spans="1:8" x14ac:dyDescent="0.25">
      <c r="A240" s="5" t="s">
        <v>9</v>
      </c>
      <c r="F240" s="27"/>
      <c r="G240" s="27"/>
      <c r="H240" s="27"/>
    </row>
    <row r="241" spans="1:6" x14ac:dyDescent="0.25">
      <c r="A241" t="str" cm="1">
        <f t="array" aca="1" ref="A241" ca="1">"aK_SL_1_" &amp; INDIRECT("F" &amp; ROW(C241) - 14) &amp; "_p"</f>
        <v>aK_SL_1_2_4_p</v>
      </c>
      <c r="B241">
        <v>0</v>
      </c>
      <c r="C241" t="s">
        <v>4</v>
      </c>
    </row>
    <row r="242" spans="1:6" x14ac:dyDescent="0.25">
      <c r="A242" t="str" cm="1">
        <f t="array" aca="1" ref="A242" ca="1">"aK_SL_2_" &amp; INDIRECT("F" &amp; ROW(C242) - 15) &amp; "_p"</f>
        <v>aK_SL_2_2_4_p</v>
      </c>
      <c r="B242">
        <v>0</v>
      </c>
      <c r="C242" t="s">
        <v>5</v>
      </c>
    </row>
    <row r="243" spans="1:6" x14ac:dyDescent="0.25">
      <c r="A243" t="str" cm="1">
        <f t="array" aca="1" ref="A243" ca="1">"aK_SL_3_" &amp; INDIRECT("F" &amp; ROW(C243) - 16) &amp; "_p"</f>
        <v>aK_SL_3_2_4_p</v>
      </c>
      <c r="B243">
        <v>2</v>
      </c>
      <c r="C243" t="s">
        <v>6</v>
      </c>
    </row>
    <row r="244" spans="1:6" x14ac:dyDescent="0.25">
      <c r="A244" s="5" t="s">
        <v>95</v>
      </c>
    </row>
    <row r="245" spans="1:6" x14ac:dyDescent="0.25">
      <c r="A245" t="str" cm="1">
        <f t="array" aca="1" ref="A245" ca="1">"aK_DRO_1_" &amp; INDIRECT("F" &amp; ROW(C245) - 18) &amp; "_p"</f>
        <v>aK_DRO_1_2_4_p</v>
      </c>
      <c r="B245">
        <v>0</v>
      </c>
      <c r="C245" t="s">
        <v>4</v>
      </c>
    </row>
    <row r="246" spans="1:6" x14ac:dyDescent="0.25">
      <c r="A246" t="str" cm="1">
        <f t="array" aca="1" ref="A246" ca="1">"aK_DRO_2_" &amp; INDIRECT("F" &amp; ROW(C246) - 19) &amp; "_p"</f>
        <v>aK_DRO_2_2_4_p</v>
      </c>
      <c r="B246">
        <v>0</v>
      </c>
      <c r="C246" t="s">
        <v>5</v>
      </c>
    </row>
    <row r="247" spans="1:6" x14ac:dyDescent="0.25">
      <c r="A247" t="str" cm="1">
        <f t="array" aca="1" ref="A247" ca="1">"aK_DRO_3_" &amp; INDIRECT("F" &amp; ROW(C247) - 20) &amp; "_p"</f>
        <v>aK_DRO_3_2_4_p</v>
      </c>
      <c r="B247">
        <v>2</v>
      </c>
      <c r="C247" t="s">
        <v>6</v>
      </c>
    </row>
    <row r="248" spans="1:6" x14ac:dyDescent="0.25">
      <c r="A248" s="5" t="s">
        <v>96</v>
      </c>
    </row>
    <row r="249" spans="1:6" x14ac:dyDescent="0.25">
      <c r="A249" t="str" cm="1">
        <f t="array" aca="1" ref="A249" ca="1">"aK_CYC_1_" &amp; INDIRECT("F" &amp; ROW(C249) - 22) &amp; "_p"</f>
        <v>aK_CYC_1_2_4_p</v>
      </c>
      <c r="B249">
        <v>0.1</v>
      </c>
      <c r="C249" t="s">
        <v>4</v>
      </c>
    </row>
    <row r="250" spans="1:6" x14ac:dyDescent="0.25">
      <c r="A250" t="str" cm="1">
        <f t="array" aca="1" ref="A250" ca="1">"aK_CYC_2_" &amp; INDIRECT("F" &amp; ROW(C250) - 23) &amp; "_p"</f>
        <v>aK_CYC_2_2_4_p</v>
      </c>
      <c r="B250">
        <v>0</v>
      </c>
      <c r="C250" t="s">
        <v>5</v>
      </c>
    </row>
    <row r="251" spans="1:6" x14ac:dyDescent="0.25">
      <c r="A251" t="str" cm="1">
        <f t="array" aca="1" ref="A251" ca="1">"aK_CYC_3_" &amp; INDIRECT("F" &amp; ROW(C251) - 24) &amp; "_p"</f>
        <v>aK_CYC_3_2_4_p</v>
      </c>
      <c r="B251">
        <v>2</v>
      </c>
      <c r="C251" t="s">
        <v>6</v>
      </c>
    </row>
    <row r="252" spans="1:6" x14ac:dyDescent="0.25">
      <c r="A252" s="26" t="str">
        <f>"sector " &amp; D252 &amp; " and region " &amp;E252</f>
        <v>sector 2 and region 5</v>
      </c>
      <c r="B252" s="26"/>
      <c r="C252" s="26"/>
      <c r="D252" s="24">
        <v>2</v>
      </c>
      <c r="E252" s="24">
        <v>5</v>
      </c>
      <c r="F252" s="24" t="str">
        <f>D252 &amp; "_" &amp; E252</f>
        <v>2_5</v>
      </c>
    </row>
    <row r="253" spans="1:6" x14ac:dyDescent="0.25">
      <c r="A253" s="5" t="s">
        <v>3</v>
      </c>
    </row>
    <row r="254" spans="1:6" x14ac:dyDescent="0.25">
      <c r="A254" t="str" cm="1">
        <f t="array" aca="1" ref="A254" ca="1">"aK_T_1_" &amp; INDIRECT("F" &amp; ROW(C254)-2) &amp; "_p"</f>
        <v>aK_T_1_2_5_p</v>
      </c>
      <c r="B254">
        <v>0</v>
      </c>
      <c r="C254" t="s">
        <v>4</v>
      </c>
    </row>
    <row r="255" spans="1:6" x14ac:dyDescent="0.25">
      <c r="A255" t="str" cm="1">
        <f t="array" aca="1" ref="A255" ca="1">"aK_T_2_" &amp; INDIRECT("F" &amp; ROW(C255)-3) &amp; "_p"</f>
        <v>aK_T_2_2_5_p</v>
      </c>
      <c r="B255">
        <v>0</v>
      </c>
      <c r="C255" t="s">
        <v>5</v>
      </c>
    </row>
    <row r="256" spans="1:6" x14ac:dyDescent="0.25">
      <c r="A256" t="str" cm="1">
        <f t="array" aca="1" ref="A256" ca="1">"aK_T_3_" &amp; INDIRECT("F" &amp; ROW(C256)-4) &amp; "_p"</f>
        <v>aK_T_3_2_5_p</v>
      </c>
      <c r="B256">
        <v>2</v>
      </c>
      <c r="C256" t="s">
        <v>6</v>
      </c>
    </row>
    <row r="257" spans="1:8" x14ac:dyDescent="0.25">
      <c r="A257" s="5" t="s">
        <v>8</v>
      </c>
    </row>
    <row r="258" spans="1:8" x14ac:dyDescent="0.25">
      <c r="A258" t="str" cm="1">
        <f t="array" aca="1" ref="A258" ca="1">"aK_WS_1_" &amp; INDIRECT("F" &amp; ROW(C258)-6) &amp; "_p"</f>
        <v>aK_WS_1_2_5_p</v>
      </c>
      <c r="B258">
        <v>0</v>
      </c>
      <c r="C258" t="s">
        <v>4</v>
      </c>
    </row>
    <row r="259" spans="1:8" x14ac:dyDescent="0.25">
      <c r="A259" t="str" cm="1">
        <f t="array" aca="1" ref="A259" ca="1">"aK_WS_2_" &amp; INDIRECT("F" &amp; ROW(C259)-7) &amp; "_p"</f>
        <v>aK_WS_2_2_5_p</v>
      </c>
      <c r="B259">
        <v>0</v>
      </c>
      <c r="C259" t="s">
        <v>5</v>
      </c>
    </row>
    <row r="260" spans="1:8" x14ac:dyDescent="0.25">
      <c r="A260" t="str" cm="1">
        <f t="array" aca="1" ref="A260" ca="1">"aK_WS_3_" &amp; INDIRECT("F" &amp; ROW(C260)-8) &amp; "_p"</f>
        <v>aK_WS_3_2_5_p</v>
      </c>
      <c r="B260">
        <v>2</v>
      </c>
      <c r="C260" t="s">
        <v>6</v>
      </c>
    </row>
    <row r="261" spans="1:8" x14ac:dyDescent="0.25">
      <c r="A261" s="5" t="s">
        <v>7</v>
      </c>
      <c r="F261" s="27"/>
      <c r="G261" s="27"/>
      <c r="H261" s="27"/>
    </row>
    <row r="262" spans="1:8" x14ac:dyDescent="0.25">
      <c r="A262" t="str" cm="1">
        <f t="array" aca="1" ref="A262" ca="1">"aK_PREC_1_" &amp; INDIRECT("F" &amp; ROW(C262) - 10) &amp; "_p"</f>
        <v>aK_PREC_1_2_5_p</v>
      </c>
      <c r="B262">
        <v>0</v>
      </c>
      <c r="C262" t="s">
        <v>4</v>
      </c>
    </row>
    <row r="263" spans="1:8" x14ac:dyDescent="0.25">
      <c r="A263" t="str" cm="1">
        <f t="array" aca="1" ref="A263" ca="1">"aK_PREC_2_" &amp; INDIRECT("F" &amp; ROW(C263) - 11) &amp; "_p"</f>
        <v>aK_PREC_2_2_5_p</v>
      </c>
      <c r="B263">
        <v>0</v>
      </c>
      <c r="C263" t="s">
        <v>5</v>
      </c>
    </row>
    <row r="264" spans="1:8" x14ac:dyDescent="0.25">
      <c r="A264" t="str" cm="1">
        <f t="array" aca="1" ref="A264" ca="1">"aK_PREC_3_" &amp; INDIRECT("F" &amp; ROW(C264) - 12) &amp; "_p"</f>
        <v>aK_PREC_3_2_5_p</v>
      </c>
      <c r="B264">
        <v>2</v>
      </c>
      <c r="C264" t="s">
        <v>6</v>
      </c>
    </row>
    <row r="265" spans="1:8" x14ac:dyDescent="0.25">
      <c r="A265" s="5" t="s">
        <v>9</v>
      </c>
      <c r="F265" s="27"/>
      <c r="G265" s="27"/>
      <c r="H265" s="27"/>
    </row>
    <row r="266" spans="1:8" x14ac:dyDescent="0.25">
      <c r="A266" t="str" cm="1">
        <f t="array" aca="1" ref="A266" ca="1">"aK_SL_1_" &amp; INDIRECT("F" &amp; ROW(C266) - 14) &amp; "_p"</f>
        <v>aK_SL_1_2_5_p</v>
      </c>
      <c r="B266">
        <v>0</v>
      </c>
      <c r="C266" t="s">
        <v>4</v>
      </c>
    </row>
    <row r="267" spans="1:8" x14ac:dyDescent="0.25">
      <c r="A267" t="str" cm="1">
        <f t="array" aca="1" ref="A267" ca="1">"aK_SL_2_" &amp; INDIRECT("F" &amp; ROW(C267) - 15) &amp; "_p"</f>
        <v>aK_SL_2_2_5_p</v>
      </c>
      <c r="B267">
        <v>0</v>
      </c>
      <c r="C267" t="s">
        <v>5</v>
      </c>
    </row>
    <row r="268" spans="1:8" x14ac:dyDescent="0.25">
      <c r="A268" t="str" cm="1">
        <f t="array" aca="1" ref="A268" ca="1">"aK_SL_3_" &amp; INDIRECT("F" &amp; ROW(C268) - 16) &amp; "_p"</f>
        <v>aK_SL_3_2_5_p</v>
      </c>
      <c r="B268">
        <v>2</v>
      </c>
      <c r="C268" t="s">
        <v>6</v>
      </c>
    </row>
    <row r="269" spans="1:8" x14ac:dyDescent="0.25">
      <c r="A269" s="5" t="s">
        <v>95</v>
      </c>
    </row>
    <row r="270" spans="1:8" x14ac:dyDescent="0.25">
      <c r="A270" t="str" cm="1">
        <f t="array" aca="1" ref="A270" ca="1">"aK_DRO_1_" &amp; INDIRECT("F" &amp; ROW(C270) - 18) &amp; "_p"</f>
        <v>aK_DRO_1_2_5_p</v>
      </c>
      <c r="B270">
        <v>0</v>
      </c>
      <c r="C270" t="s">
        <v>4</v>
      </c>
    </row>
    <row r="271" spans="1:8" x14ac:dyDescent="0.25">
      <c r="A271" t="str" cm="1">
        <f t="array" aca="1" ref="A271" ca="1">"aK_DRO_2_" &amp; INDIRECT("F" &amp; ROW(C271) - 19) &amp; "_p"</f>
        <v>aK_DRO_2_2_5_p</v>
      </c>
      <c r="B271">
        <v>0</v>
      </c>
      <c r="C271" t="s">
        <v>5</v>
      </c>
    </row>
    <row r="272" spans="1:8" x14ac:dyDescent="0.25">
      <c r="A272" t="str" cm="1">
        <f t="array" aca="1" ref="A272" ca="1">"aK_DRO_3_" &amp; INDIRECT("F" &amp; ROW(C272) - 20) &amp; "_p"</f>
        <v>aK_DRO_3_2_5_p</v>
      </c>
      <c r="B272">
        <v>2</v>
      </c>
      <c r="C272" t="s">
        <v>6</v>
      </c>
    </row>
    <row r="273" spans="1:8" x14ac:dyDescent="0.25">
      <c r="A273" s="5" t="s">
        <v>96</v>
      </c>
    </row>
    <row r="274" spans="1:8" x14ac:dyDescent="0.25">
      <c r="A274" t="str" cm="1">
        <f t="array" aca="1" ref="A274" ca="1">"aK_CYC_1_" &amp; INDIRECT("F" &amp; ROW(C274) - 22) &amp; "_p"</f>
        <v>aK_CYC_1_2_5_p</v>
      </c>
      <c r="B274">
        <v>0.1</v>
      </c>
      <c r="C274" t="s">
        <v>4</v>
      </c>
    </row>
    <row r="275" spans="1:8" x14ac:dyDescent="0.25">
      <c r="A275" t="str" cm="1">
        <f t="array" aca="1" ref="A275" ca="1">"aK_CYC_2_" &amp; INDIRECT("F" &amp; ROW(C275) - 23) &amp; "_p"</f>
        <v>aK_CYC_2_2_5_p</v>
      </c>
      <c r="B275">
        <v>0</v>
      </c>
      <c r="C275" t="s">
        <v>5</v>
      </c>
    </row>
    <row r="276" spans="1:8" x14ac:dyDescent="0.25">
      <c r="A276" t="str" cm="1">
        <f t="array" aca="1" ref="A276" ca="1">"aK_CYC_3_" &amp; INDIRECT("F" &amp; ROW(C276) - 24) &amp; "_p"</f>
        <v>aK_CYC_3_2_5_p</v>
      </c>
      <c r="B276">
        <v>2</v>
      </c>
      <c r="C276" t="s">
        <v>6</v>
      </c>
    </row>
    <row r="277" spans="1:8" x14ac:dyDescent="0.25">
      <c r="A277" s="26" t="str">
        <f>"sector " &amp; D277 &amp; " and region " &amp;E277</f>
        <v>sector 2 and region 6</v>
      </c>
      <c r="B277" s="26"/>
      <c r="C277" s="26"/>
      <c r="D277" s="24">
        <v>2</v>
      </c>
      <c r="E277" s="24">
        <v>6</v>
      </c>
      <c r="F277" s="24" t="str">
        <f>D277 &amp; "_" &amp; E277</f>
        <v>2_6</v>
      </c>
    </row>
    <row r="278" spans="1:8" x14ac:dyDescent="0.25">
      <c r="A278" s="5" t="s">
        <v>3</v>
      </c>
    </row>
    <row r="279" spans="1:8" x14ac:dyDescent="0.25">
      <c r="A279" t="str" cm="1">
        <f t="array" aca="1" ref="A279" ca="1">"aK_T_1_" &amp; INDIRECT("F" &amp; ROW(C279)-2) &amp; "_p"</f>
        <v>aK_T_1_2_6_p</v>
      </c>
      <c r="B279">
        <v>0</v>
      </c>
      <c r="C279" t="s">
        <v>4</v>
      </c>
    </row>
    <row r="280" spans="1:8" x14ac:dyDescent="0.25">
      <c r="A280" t="str" cm="1">
        <f t="array" aca="1" ref="A280" ca="1">"aK_T_2_" &amp; INDIRECT("F" &amp; ROW(C280)-3) &amp; "_p"</f>
        <v>aK_T_2_2_6_p</v>
      </c>
      <c r="B280">
        <v>0</v>
      </c>
      <c r="C280" t="s">
        <v>5</v>
      </c>
    </row>
    <row r="281" spans="1:8" x14ac:dyDescent="0.25">
      <c r="A281" t="str" cm="1">
        <f t="array" aca="1" ref="A281" ca="1">"aK_T_3_" &amp; INDIRECT("F" &amp; ROW(C281)-4) &amp; "_p"</f>
        <v>aK_T_3_2_6_p</v>
      </c>
      <c r="B281">
        <v>2</v>
      </c>
      <c r="C281" t="s">
        <v>6</v>
      </c>
    </row>
    <row r="282" spans="1:8" x14ac:dyDescent="0.25">
      <c r="A282" s="5" t="s">
        <v>8</v>
      </c>
    </row>
    <row r="283" spans="1:8" x14ac:dyDescent="0.25">
      <c r="A283" t="str" cm="1">
        <f t="array" aca="1" ref="A283" ca="1">"aK_WS_1_" &amp; INDIRECT("F" &amp; ROW(C283)-6) &amp; "_p"</f>
        <v>aK_WS_1_2_6_p</v>
      </c>
      <c r="B283">
        <v>0</v>
      </c>
      <c r="C283" t="s">
        <v>4</v>
      </c>
    </row>
    <row r="284" spans="1:8" x14ac:dyDescent="0.25">
      <c r="A284" t="str" cm="1">
        <f t="array" aca="1" ref="A284" ca="1">"aK_WS_2_" &amp; INDIRECT("F" &amp; ROW(C284)-7) &amp; "_p"</f>
        <v>aK_WS_2_2_6_p</v>
      </c>
      <c r="B284">
        <v>0</v>
      </c>
      <c r="C284" t="s">
        <v>5</v>
      </c>
    </row>
    <row r="285" spans="1:8" x14ac:dyDescent="0.25">
      <c r="A285" t="str" cm="1">
        <f t="array" aca="1" ref="A285" ca="1">"aK_WS_3_" &amp; INDIRECT("F" &amp; ROW(C285)-8) &amp; "_p"</f>
        <v>aK_WS_3_2_6_p</v>
      </c>
      <c r="B285">
        <v>2</v>
      </c>
      <c r="C285" t="s">
        <v>6</v>
      </c>
    </row>
    <row r="286" spans="1:8" x14ac:dyDescent="0.25">
      <c r="A286" s="5" t="s">
        <v>7</v>
      </c>
      <c r="F286" s="27"/>
      <c r="G286" s="27"/>
      <c r="H286" s="27"/>
    </row>
    <row r="287" spans="1:8" x14ac:dyDescent="0.25">
      <c r="A287" t="str" cm="1">
        <f t="array" aca="1" ref="A287" ca="1">"aK_PREC_1_" &amp; INDIRECT("F" &amp; ROW(C287) - 10) &amp; "_p"</f>
        <v>aK_PREC_1_2_6_p</v>
      </c>
      <c r="B287">
        <v>0</v>
      </c>
      <c r="C287" t="s">
        <v>4</v>
      </c>
    </row>
    <row r="288" spans="1:8" x14ac:dyDescent="0.25">
      <c r="A288" t="str" cm="1">
        <f t="array" aca="1" ref="A288" ca="1">"aK_PREC_2_" &amp; INDIRECT("F" &amp; ROW(C288) - 11) &amp; "_p"</f>
        <v>aK_PREC_2_2_6_p</v>
      </c>
      <c r="B288">
        <v>0</v>
      </c>
      <c r="C288" t="s">
        <v>5</v>
      </c>
    </row>
    <row r="289" spans="1:8" x14ac:dyDescent="0.25">
      <c r="A289" t="str" cm="1">
        <f t="array" aca="1" ref="A289" ca="1">"aK_PREC_3_" &amp; INDIRECT("F" &amp; ROW(C289) - 12) &amp; "_p"</f>
        <v>aK_PREC_3_2_6_p</v>
      </c>
      <c r="B289">
        <v>2</v>
      </c>
      <c r="C289" t="s">
        <v>6</v>
      </c>
    </row>
    <row r="290" spans="1:8" x14ac:dyDescent="0.25">
      <c r="A290" s="5" t="s">
        <v>9</v>
      </c>
      <c r="F290" s="27"/>
      <c r="G290" s="27"/>
      <c r="H290" s="27"/>
    </row>
    <row r="291" spans="1:8" x14ac:dyDescent="0.25">
      <c r="A291" t="str" cm="1">
        <f t="array" aca="1" ref="A291" ca="1">"aK_SL_1_" &amp; INDIRECT("F" &amp; ROW(C291) - 14) &amp; "_p"</f>
        <v>aK_SL_1_2_6_p</v>
      </c>
      <c r="B291">
        <v>0</v>
      </c>
      <c r="C291" t="s">
        <v>4</v>
      </c>
    </row>
    <row r="292" spans="1:8" x14ac:dyDescent="0.25">
      <c r="A292" t="str" cm="1">
        <f t="array" aca="1" ref="A292" ca="1">"aK_SL_2_" &amp; INDIRECT("F" &amp; ROW(C292) - 15) &amp; "_p"</f>
        <v>aK_SL_2_2_6_p</v>
      </c>
      <c r="B292">
        <v>0</v>
      </c>
      <c r="C292" t="s">
        <v>5</v>
      </c>
    </row>
    <row r="293" spans="1:8" x14ac:dyDescent="0.25">
      <c r="A293" t="str" cm="1">
        <f t="array" aca="1" ref="A293" ca="1">"aK_SL_3_" &amp; INDIRECT("F" &amp; ROW(C293) - 16) &amp; "_p"</f>
        <v>aK_SL_3_2_6_p</v>
      </c>
      <c r="B293">
        <v>2</v>
      </c>
      <c r="C293" t="s">
        <v>6</v>
      </c>
    </row>
    <row r="294" spans="1:8" x14ac:dyDescent="0.25">
      <c r="A294" s="5" t="s">
        <v>95</v>
      </c>
    </row>
    <row r="295" spans="1:8" x14ac:dyDescent="0.25">
      <c r="A295" t="str" cm="1">
        <f t="array" aca="1" ref="A295" ca="1">"aK_DRO_1_" &amp; INDIRECT("F" &amp; ROW(C295) - 18) &amp; "_p"</f>
        <v>aK_DRO_1_2_6_p</v>
      </c>
      <c r="B295">
        <v>0</v>
      </c>
      <c r="C295" t="s">
        <v>4</v>
      </c>
    </row>
    <row r="296" spans="1:8" x14ac:dyDescent="0.25">
      <c r="A296" t="str" cm="1">
        <f t="array" aca="1" ref="A296" ca="1">"aK_DRO_2_" &amp; INDIRECT("F" &amp; ROW(C296) - 19) &amp; "_p"</f>
        <v>aK_DRO_2_2_6_p</v>
      </c>
      <c r="B296">
        <v>0</v>
      </c>
      <c r="C296" t="s">
        <v>5</v>
      </c>
    </row>
    <row r="297" spans="1:8" x14ac:dyDescent="0.25">
      <c r="A297" t="str" cm="1">
        <f t="array" aca="1" ref="A297" ca="1">"aK_DRO_3_" &amp; INDIRECT("F" &amp; ROW(C297) - 20) &amp; "_p"</f>
        <v>aK_DRO_3_2_6_p</v>
      </c>
      <c r="B297">
        <v>2</v>
      </c>
      <c r="C297" t="s">
        <v>6</v>
      </c>
    </row>
    <row r="298" spans="1:8" x14ac:dyDescent="0.25">
      <c r="A298" s="5" t="s">
        <v>96</v>
      </c>
    </row>
    <row r="299" spans="1:8" x14ac:dyDescent="0.25">
      <c r="A299" t="str" cm="1">
        <f t="array" aca="1" ref="A299" ca="1">"aK_CYC_1_" &amp; INDIRECT("F" &amp; ROW(C299) - 22) &amp; "_p"</f>
        <v>aK_CYC_1_2_6_p</v>
      </c>
      <c r="B299">
        <v>0.1</v>
      </c>
      <c r="C299" t="s">
        <v>4</v>
      </c>
    </row>
    <row r="300" spans="1:8" x14ac:dyDescent="0.25">
      <c r="A300" t="str" cm="1">
        <f t="array" aca="1" ref="A300" ca="1">"aK_CYC_2_" &amp; INDIRECT("F" &amp; ROW(C300) - 23) &amp; "_p"</f>
        <v>aK_CYC_2_2_6_p</v>
      </c>
      <c r="B300">
        <v>0</v>
      </c>
      <c r="C300" t="s">
        <v>5</v>
      </c>
    </row>
    <row r="301" spans="1:8" x14ac:dyDescent="0.25">
      <c r="A301" t="str" cm="1">
        <f t="array" aca="1" ref="A301" ca="1">"aK_CYC_3_" &amp; INDIRECT("F" &amp; ROW(C301) - 24) &amp; "_p"</f>
        <v>aK_CYC_3_2_6_p</v>
      </c>
      <c r="B301">
        <v>2</v>
      </c>
      <c r="C301" t="s">
        <v>6</v>
      </c>
    </row>
    <row r="302" spans="1:8" x14ac:dyDescent="0.25">
      <c r="A302" s="26" t="str">
        <f>"sector " &amp; D302 &amp; " and region " &amp;E302</f>
        <v>sector 3 and region 1</v>
      </c>
      <c r="B302" s="26"/>
      <c r="C302" s="26"/>
      <c r="D302" s="24">
        <v>3</v>
      </c>
      <c r="E302" s="24">
        <v>1</v>
      </c>
      <c r="F302" s="24" t="str">
        <f>D302 &amp; "_" &amp; E302</f>
        <v>3_1</v>
      </c>
    </row>
    <row r="303" spans="1:8" x14ac:dyDescent="0.25">
      <c r="A303" s="5" t="s">
        <v>3</v>
      </c>
    </row>
    <row r="304" spans="1:8" x14ac:dyDescent="0.25">
      <c r="A304" t="str" cm="1">
        <f t="array" aca="1" ref="A304" ca="1">"aK_T_1_" &amp; INDIRECT("F" &amp; ROW(C304)-2) &amp; "_p"</f>
        <v>aK_T_1_3_1_p</v>
      </c>
      <c r="B304">
        <v>0</v>
      </c>
      <c r="C304" t="s">
        <v>4</v>
      </c>
    </row>
    <row r="305" spans="1:8" x14ac:dyDescent="0.25">
      <c r="A305" t="str" cm="1">
        <f t="array" aca="1" ref="A305" ca="1">"aK_T_2_" &amp; INDIRECT("F" &amp; ROW(C305)-3) &amp; "_p"</f>
        <v>aK_T_2_3_1_p</v>
      </c>
      <c r="B305">
        <v>0</v>
      </c>
      <c r="C305" t="s">
        <v>5</v>
      </c>
    </row>
    <row r="306" spans="1:8" x14ac:dyDescent="0.25">
      <c r="A306" t="str" cm="1">
        <f t="array" aca="1" ref="A306" ca="1">"aK_T_3_" &amp; INDIRECT("F" &amp; ROW(C306)-4) &amp; "_p"</f>
        <v>aK_T_3_3_1_p</v>
      </c>
      <c r="B306">
        <v>2</v>
      </c>
      <c r="C306" t="s">
        <v>6</v>
      </c>
    </row>
    <row r="307" spans="1:8" x14ac:dyDescent="0.25">
      <c r="A307" s="5" t="s">
        <v>8</v>
      </c>
    </row>
    <row r="308" spans="1:8" x14ac:dyDescent="0.25">
      <c r="A308" t="str" cm="1">
        <f t="array" aca="1" ref="A308" ca="1">"aK_WS_1_" &amp; INDIRECT("F" &amp; ROW(C308)-6) &amp; "_p"</f>
        <v>aK_WS_1_3_1_p</v>
      </c>
      <c r="B308">
        <v>0</v>
      </c>
      <c r="C308" t="s">
        <v>4</v>
      </c>
    </row>
    <row r="309" spans="1:8" x14ac:dyDescent="0.25">
      <c r="A309" t="str" cm="1">
        <f t="array" aca="1" ref="A309" ca="1">"aK_WS_2_" &amp; INDIRECT("F" &amp; ROW(C309)-7) &amp; "_p"</f>
        <v>aK_WS_2_3_1_p</v>
      </c>
      <c r="B309">
        <v>0</v>
      </c>
      <c r="C309" t="s">
        <v>5</v>
      </c>
    </row>
    <row r="310" spans="1:8" x14ac:dyDescent="0.25">
      <c r="A310" t="str" cm="1">
        <f t="array" aca="1" ref="A310" ca="1">"aK_WS_3_" &amp; INDIRECT("F" &amp; ROW(C310)-8) &amp; "_p"</f>
        <v>aK_WS_3_3_1_p</v>
      </c>
      <c r="B310">
        <v>2</v>
      </c>
      <c r="C310" t="s">
        <v>6</v>
      </c>
    </row>
    <row r="311" spans="1:8" x14ac:dyDescent="0.25">
      <c r="A311" s="5" t="s">
        <v>7</v>
      </c>
      <c r="F311" s="27"/>
      <c r="G311" s="27"/>
      <c r="H311" s="27"/>
    </row>
    <row r="312" spans="1:8" x14ac:dyDescent="0.25">
      <c r="A312" t="str" cm="1">
        <f t="array" aca="1" ref="A312" ca="1">"aK_PREC_1_" &amp; INDIRECT("F" &amp; ROW(C312) - 10) &amp; "_p"</f>
        <v>aK_PREC_1_3_1_p</v>
      </c>
      <c r="B312">
        <v>0</v>
      </c>
      <c r="C312" t="s">
        <v>4</v>
      </c>
    </row>
    <row r="313" spans="1:8" x14ac:dyDescent="0.25">
      <c r="A313" t="str" cm="1">
        <f t="array" aca="1" ref="A313" ca="1">"aK_PREC_2_" &amp; INDIRECT("F" &amp; ROW(C313) - 11) &amp; "_p"</f>
        <v>aK_PREC_2_3_1_p</v>
      </c>
      <c r="B313">
        <v>0</v>
      </c>
      <c r="C313" t="s">
        <v>5</v>
      </c>
    </row>
    <row r="314" spans="1:8" x14ac:dyDescent="0.25">
      <c r="A314" t="str" cm="1">
        <f t="array" aca="1" ref="A314" ca="1">"aK_PREC_3_" &amp; INDIRECT("F" &amp; ROW(C314) - 12) &amp; "_p"</f>
        <v>aK_PREC_3_3_1_p</v>
      </c>
      <c r="B314">
        <v>2</v>
      </c>
      <c r="C314" t="s">
        <v>6</v>
      </c>
    </row>
    <row r="315" spans="1:8" x14ac:dyDescent="0.25">
      <c r="A315" s="5" t="s">
        <v>9</v>
      </c>
      <c r="F315" s="27"/>
      <c r="G315" s="27"/>
      <c r="H315" s="27"/>
    </row>
    <row r="316" spans="1:8" x14ac:dyDescent="0.25">
      <c r="A316" t="str" cm="1">
        <f t="array" aca="1" ref="A316" ca="1">"aK_SL_1_" &amp; INDIRECT("F" &amp; ROW(C316) - 14) &amp; "_p"</f>
        <v>aK_SL_1_3_1_p</v>
      </c>
      <c r="B316">
        <v>0</v>
      </c>
      <c r="C316" t="s">
        <v>4</v>
      </c>
    </row>
    <row r="317" spans="1:8" x14ac:dyDescent="0.25">
      <c r="A317" t="str" cm="1">
        <f t="array" aca="1" ref="A317" ca="1">"aK_SL_2_" &amp; INDIRECT("F" &amp; ROW(C317) - 15) &amp; "_p"</f>
        <v>aK_SL_2_3_1_p</v>
      </c>
      <c r="B317">
        <v>0</v>
      </c>
      <c r="C317" t="s">
        <v>5</v>
      </c>
    </row>
    <row r="318" spans="1:8" x14ac:dyDescent="0.25">
      <c r="A318" t="str" cm="1">
        <f t="array" aca="1" ref="A318" ca="1">"aK_SL_3_" &amp; INDIRECT("F" &amp; ROW(C318) - 16) &amp; "_p"</f>
        <v>aK_SL_3_3_1_p</v>
      </c>
      <c r="B318">
        <v>2</v>
      </c>
      <c r="C318" t="s">
        <v>6</v>
      </c>
    </row>
    <row r="319" spans="1:8" x14ac:dyDescent="0.25">
      <c r="A319" s="5" t="s">
        <v>95</v>
      </c>
    </row>
    <row r="320" spans="1:8" x14ac:dyDescent="0.25">
      <c r="A320" t="str" cm="1">
        <f t="array" aca="1" ref="A320" ca="1">"aK_DRO_1_" &amp; INDIRECT("F" &amp; ROW(C320) - 18) &amp; "_p"</f>
        <v>aK_DRO_1_3_1_p</v>
      </c>
      <c r="B320">
        <v>0</v>
      </c>
      <c r="C320" t="s">
        <v>4</v>
      </c>
    </row>
    <row r="321" spans="1:8" x14ac:dyDescent="0.25">
      <c r="A321" t="str" cm="1">
        <f t="array" aca="1" ref="A321" ca="1">"aK_DRO_2_" &amp; INDIRECT("F" &amp; ROW(C321) - 19) &amp; "_p"</f>
        <v>aK_DRO_2_3_1_p</v>
      </c>
      <c r="B321">
        <v>0</v>
      </c>
      <c r="C321" t="s">
        <v>5</v>
      </c>
    </row>
    <row r="322" spans="1:8" x14ac:dyDescent="0.25">
      <c r="A322" t="str" cm="1">
        <f t="array" aca="1" ref="A322" ca="1">"aK_DRO_3_" &amp; INDIRECT("F" &amp; ROW(C322) - 20) &amp; "_p"</f>
        <v>aK_DRO_3_3_1_p</v>
      </c>
      <c r="B322">
        <v>2</v>
      </c>
      <c r="C322" t="s">
        <v>6</v>
      </c>
    </row>
    <row r="323" spans="1:8" x14ac:dyDescent="0.25">
      <c r="A323" s="5" t="s">
        <v>96</v>
      </c>
    </row>
    <row r="324" spans="1:8" x14ac:dyDescent="0.25">
      <c r="A324" t="str" cm="1">
        <f t="array" aca="1" ref="A324" ca="1">"aK_CYC_1_" &amp; INDIRECT("F" &amp; ROW(C324) - 22) &amp; "_p"</f>
        <v>aK_CYC_1_3_1_p</v>
      </c>
      <c r="B324">
        <v>0.1</v>
      </c>
      <c r="C324" t="s">
        <v>4</v>
      </c>
    </row>
    <row r="325" spans="1:8" x14ac:dyDescent="0.25">
      <c r="A325" t="str" cm="1">
        <f t="array" aca="1" ref="A325" ca="1">"aK_CYC_2_" &amp; INDIRECT("F" &amp; ROW(C325) - 23) &amp; "_p"</f>
        <v>aK_CYC_2_3_1_p</v>
      </c>
      <c r="B325">
        <v>0</v>
      </c>
      <c r="C325" t="s">
        <v>5</v>
      </c>
    </row>
    <row r="326" spans="1:8" x14ac:dyDescent="0.25">
      <c r="A326" t="str" cm="1">
        <f t="array" aca="1" ref="A326" ca="1">"aK_CYC_3_" &amp; INDIRECT("F" &amp; ROW(C326) - 24) &amp; "_p"</f>
        <v>aK_CYC_3_3_1_p</v>
      </c>
      <c r="B326">
        <v>2</v>
      </c>
      <c r="C326" t="s">
        <v>6</v>
      </c>
    </row>
    <row r="327" spans="1:8" x14ac:dyDescent="0.25">
      <c r="A327" s="26" t="str">
        <f>"sector " &amp; D327 &amp; " and region " &amp;E327</f>
        <v>sector 3 and region 2</v>
      </c>
      <c r="B327" s="26"/>
      <c r="C327" s="26"/>
      <c r="D327" s="24">
        <v>3</v>
      </c>
      <c r="E327" s="24">
        <v>2</v>
      </c>
      <c r="F327" s="24" t="str">
        <f>D327 &amp; "_" &amp; E327</f>
        <v>3_2</v>
      </c>
    </row>
    <row r="328" spans="1:8" x14ac:dyDescent="0.25">
      <c r="A328" s="5" t="s">
        <v>3</v>
      </c>
    </row>
    <row r="329" spans="1:8" x14ac:dyDescent="0.25">
      <c r="A329" t="str" cm="1">
        <f t="array" aca="1" ref="A329" ca="1">"aK_T_1_" &amp; INDIRECT("F" &amp; ROW(C329)-2) &amp; "_p"</f>
        <v>aK_T_1_3_2_p</v>
      </c>
      <c r="B329">
        <v>0</v>
      </c>
      <c r="C329" t="s">
        <v>4</v>
      </c>
    </row>
    <row r="330" spans="1:8" x14ac:dyDescent="0.25">
      <c r="A330" t="str" cm="1">
        <f t="array" aca="1" ref="A330" ca="1">"aK_T_2_" &amp; INDIRECT("F" &amp; ROW(C330)-3) &amp; "_p"</f>
        <v>aK_T_2_3_2_p</v>
      </c>
      <c r="B330">
        <v>0</v>
      </c>
      <c r="C330" t="s">
        <v>5</v>
      </c>
    </row>
    <row r="331" spans="1:8" x14ac:dyDescent="0.25">
      <c r="A331" t="str" cm="1">
        <f t="array" aca="1" ref="A331" ca="1">"aK_T_3_" &amp; INDIRECT("F" &amp; ROW(C331)-4) &amp; "_p"</f>
        <v>aK_T_3_3_2_p</v>
      </c>
      <c r="B331">
        <v>2</v>
      </c>
      <c r="C331" t="s">
        <v>6</v>
      </c>
    </row>
    <row r="332" spans="1:8" x14ac:dyDescent="0.25">
      <c r="A332" s="5" t="s">
        <v>8</v>
      </c>
    </row>
    <row r="333" spans="1:8" x14ac:dyDescent="0.25">
      <c r="A333" t="str" cm="1">
        <f t="array" aca="1" ref="A333" ca="1">"aK_WS_1_" &amp; INDIRECT("F" &amp; ROW(C333)-6) &amp; "_p"</f>
        <v>aK_WS_1_3_2_p</v>
      </c>
      <c r="B333">
        <v>0</v>
      </c>
      <c r="C333" t="s">
        <v>4</v>
      </c>
    </row>
    <row r="334" spans="1:8" x14ac:dyDescent="0.25">
      <c r="A334" t="str" cm="1">
        <f t="array" aca="1" ref="A334" ca="1">"aK_WS_2_" &amp; INDIRECT("F" &amp; ROW(C334)-7) &amp; "_p"</f>
        <v>aK_WS_2_3_2_p</v>
      </c>
      <c r="B334">
        <v>0</v>
      </c>
      <c r="C334" t="s">
        <v>5</v>
      </c>
    </row>
    <row r="335" spans="1:8" x14ac:dyDescent="0.25">
      <c r="A335" t="str" cm="1">
        <f t="array" aca="1" ref="A335" ca="1">"aK_WS_3_" &amp; INDIRECT("F" &amp; ROW(C335)-8) &amp; "_p"</f>
        <v>aK_WS_3_3_2_p</v>
      </c>
      <c r="B335">
        <v>2</v>
      </c>
      <c r="C335" t="s">
        <v>6</v>
      </c>
    </row>
    <row r="336" spans="1:8" x14ac:dyDescent="0.25">
      <c r="A336" s="5" t="s">
        <v>7</v>
      </c>
      <c r="F336" s="27"/>
      <c r="G336" s="27"/>
      <c r="H336" s="27"/>
    </row>
    <row r="337" spans="1:8" x14ac:dyDescent="0.25">
      <c r="A337" t="str" cm="1">
        <f t="array" aca="1" ref="A337" ca="1">"aK_PREC_1_" &amp; INDIRECT("F" &amp; ROW(C337) - 10) &amp; "_p"</f>
        <v>aK_PREC_1_3_2_p</v>
      </c>
      <c r="B337">
        <v>0</v>
      </c>
      <c r="C337" t="s">
        <v>4</v>
      </c>
    </row>
    <row r="338" spans="1:8" x14ac:dyDescent="0.25">
      <c r="A338" t="str" cm="1">
        <f t="array" aca="1" ref="A338" ca="1">"aK_PREC_2_" &amp; INDIRECT("F" &amp; ROW(C338) - 11) &amp; "_p"</f>
        <v>aK_PREC_2_3_2_p</v>
      </c>
      <c r="B338">
        <v>0</v>
      </c>
      <c r="C338" t="s">
        <v>5</v>
      </c>
    </row>
    <row r="339" spans="1:8" x14ac:dyDescent="0.25">
      <c r="A339" t="str" cm="1">
        <f t="array" aca="1" ref="A339" ca="1">"aK_PREC_3_" &amp; INDIRECT("F" &amp; ROW(C339) - 12) &amp; "_p"</f>
        <v>aK_PREC_3_3_2_p</v>
      </c>
      <c r="B339">
        <v>2</v>
      </c>
      <c r="C339" t="s">
        <v>6</v>
      </c>
    </row>
    <row r="340" spans="1:8" x14ac:dyDescent="0.25">
      <c r="A340" s="5" t="s">
        <v>9</v>
      </c>
      <c r="F340" s="27"/>
      <c r="G340" s="27"/>
      <c r="H340" s="27"/>
    </row>
    <row r="341" spans="1:8" x14ac:dyDescent="0.25">
      <c r="A341" t="str" cm="1">
        <f t="array" aca="1" ref="A341" ca="1">"aK_SL_1_" &amp; INDIRECT("F" &amp; ROW(C341) - 14) &amp; "_p"</f>
        <v>aK_SL_1_3_2_p</v>
      </c>
      <c r="B341">
        <v>0</v>
      </c>
      <c r="C341" t="s">
        <v>4</v>
      </c>
    </row>
    <row r="342" spans="1:8" x14ac:dyDescent="0.25">
      <c r="A342" t="str" cm="1">
        <f t="array" aca="1" ref="A342" ca="1">"aK_SL_2_" &amp; INDIRECT("F" &amp; ROW(C342) - 15) &amp; "_p"</f>
        <v>aK_SL_2_3_2_p</v>
      </c>
      <c r="B342">
        <v>0</v>
      </c>
      <c r="C342" t="s">
        <v>5</v>
      </c>
    </row>
    <row r="343" spans="1:8" x14ac:dyDescent="0.25">
      <c r="A343" t="str" cm="1">
        <f t="array" aca="1" ref="A343" ca="1">"aK_SL_3_" &amp; INDIRECT("F" &amp; ROW(C343) - 16) &amp; "_p"</f>
        <v>aK_SL_3_3_2_p</v>
      </c>
      <c r="B343">
        <v>2</v>
      </c>
      <c r="C343" t="s">
        <v>6</v>
      </c>
    </row>
    <row r="344" spans="1:8" x14ac:dyDescent="0.25">
      <c r="A344" s="5" t="s">
        <v>95</v>
      </c>
    </row>
    <row r="345" spans="1:8" x14ac:dyDescent="0.25">
      <c r="A345" t="str" cm="1">
        <f t="array" aca="1" ref="A345" ca="1">"aK_DRO_1_" &amp; INDIRECT("F" &amp; ROW(C345) - 18) &amp; "_p"</f>
        <v>aK_DRO_1_3_2_p</v>
      </c>
      <c r="B345">
        <v>0</v>
      </c>
      <c r="C345" t="s">
        <v>4</v>
      </c>
    </row>
    <row r="346" spans="1:8" x14ac:dyDescent="0.25">
      <c r="A346" t="str" cm="1">
        <f t="array" aca="1" ref="A346" ca="1">"aK_DRO_2_" &amp; INDIRECT("F" &amp; ROW(C346) - 19) &amp; "_p"</f>
        <v>aK_DRO_2_3_2_p</v>
      </c>
      <c r="B346">
        <v>0</v>
      </c>
      <c r="C346" t="s">
        <v>5</v>
      </c>
    </row>
    <row r="347" spans="1:8" x14ac:dyDescent="0.25">
      <c r="A347" t="str" cm="1">
        <f t="array" aca="1" ref="A347" ca="1">"aK_DRO_3_" &amp; INDIRECT("F" &amp; ROW(C347) - 20) &amp; "_p"</f>
        <v>aK_DRO_3_3_2_p</v>
      </c>
      <c r="B347">
        <v>2</v>
      </c>
      <c r="C347" t="s">
        <v>6</v>
      </c>
    </row>
    <row r="348" spans="1:8" x14ac:dyDescent="0.25">
      <c r="A348" s="5" t="s">
        <v>96</v>
      </c>
    </row>
    <row r="349" spans="1:8" x14ac:dyDescent="0.25">
      <c r="A349" t="str" cm="1">
        <f t="array" aca="1" ref="A349" ca="1">"aK_CYC_1_" &amp; INDIRECT("F" &amp; ROW(C349) - 22) &amp; "_p"</f>
        <v>aK_CYC_1_3_2_p</v>
      </c>
      <c r="B349">
        <v>0.1</v>
      </c>
      <c r="C349" t="s">
        <v>4</v>
      </c>
    </row>
    <row r="350" spans="1:8" x14ac:dyDescent="0.25">
      <c r="A350" t="str" cm="1">
        <f t="array" aca="1" ref="A350" ca="1">"aK_CYC_2_" &amp; INDIRECT("F" &amp; ROW(C350) - 23) &amp; "_p"</f>
        <v>aK_CYC_2_3_2_p</v>
      </c>
      <c r="B350">
        <v>0</v>
      </c>
      <c r="C350" t="s">
        <v>5</v>
      </c>
    </row>
    <row r="351" spans="1:8" x14ac:dyDescent="0.25">
      <c r="A351" t="str" cm="1">
        <f t="array" aca="1" ref="A351" ca="1">"aK_CYC_3_" &amp; INDIRECT("F" &amp; ROW(C351) - 24) &amp; "_p"</f>
        <v>aK_CYC_3_3_2_p</v>
      </c>
      <c r="B351">
        <v>2</v>
      </c>
      <c r="C351" t="s">
        <v>6</v>
      </c>
    </row>
    <row r="352" spans="1:8" x14ac:dyDescent="0.25">
      <c r="A352" s="26" t="s">
        <v>117</v>
      </c>
      <c r="B352" s="26"/>
      <c r="C352" s="26"/>
      <c r="D352" s="24">
        <v>3</v>
      </c>
      <c r="E352" s="24">
        <v>3</v>
      </c>
      <c r="F352" s="24" t="str">
        <f>D352 &amp; "_" &amp; E352</f>
        <v>3_3</v>
      </c>
    </row>
    <row r="353" spans="1:8" x14ac:dyDescent="0.25">
      <c r="A353" s="5" t="s">
        <v>3</v>
      </c>
      <c r="B353" s="5"/>
      <c r="C353" s="5"/>
    </row>
    <row r="354" spans="1:8" x14ac:dyDescent="0.25">
      <c r="A354" t="str" cm="1">
        <f t="array" aca="1" ref="A354" ca="1">"aK_T_1_" &amp; INDIRECT("F" &amp; ROW(C354)-2) &amp; "_p"</f>
        <v>aK_T_1_3_3_p</v>
      </c>
      <c r="B354">
        <v>0</v>
      </c>
      <c r="C354" t="s">
        <v>4</v>
      </c>
    </row>
    <row r="355" spans="1:8" x14ac:dyDescent="0.25">
      <c r="A355" t="str" cm="1">
        <f t="array" aca="1" ref="A355" ca="1">"aK_T_2_" &amp; INDIRECT("F" &amp; ROW(C355)-3) &amp; "_p"</f>
        <v>aK_T_2_3_3_p</v>
      </c>
      <c r="B355">
        <v>0</v>
      </c>
      <c r="C355" t="s">
        <v>5</v>
      </c>
    </row>
    <row r="356" spans="1:8" x14ac:dyDescent="0.25">
      <c r="A356" t="str" cm="1">
        <f t="array" aca="1" ref="A356" ca="1">"aK_T_3_" &amp; INDIRECT("F" &amp; ROW(C356)-4) &amp; "_p"</f>
        <v>aK_T_3_3_3_p</v>
      </c>
      <c r="B356">
        <v>2</v>
      </c>
      <c r="C356" t="s">
        <v>6</v>
      </c>
    </row>
    <row r="357" spans="1:8" x14ac:dyDescent="0.25">
      <c r="A357" s="5" t="s">
        <v>8</v>
      </c>
    </row>
    <row r="358" spans="1:8" x14ac:dyDescent="0.25">
      <c r="A358" t="str" cm="1">
        <f t="array" aca="1" ref="A358" ca="1">"aK_WS_1_" &amp; INDIRECT("F" &amp; ROW(C358)-6) &amp; "_p"</f>
        <v>aK_WS_1_3_3_p</v>
      </c>
      <c r="B358">
        <v>0</v>
      </c>
      <c r="C358" t="s">
        <v>4</v>
      </c>
    </row>
    <row r="359" spans="1:8" x14ac:dyDescent="0.25">
      <c r="A359" t="str" cm="1">
        <f t="array" aca="1" ref="A359" ca="1">"aK_WS_2_" &amp; INDIRECT("F" &amp; ROW(C359)-7) &amp; "_p"</f>
        <v>aK_WS_2_3_3_p</v>
      </c>
      <c r="B359">
        <v>0</v>
      </c>
      <c r="C359" t="s">
        <v>5</v>
      </c>
    </row>
    <row r="360" spans="1:8" x14ac:dyDescent="0.25">
      <c r="A360" t="str" cm="1">
        <f t="array" aca="1" ref="A360" ca="1">"aK_WS_3_" &amp; INDIRECT("F" &amp; ROW(C360)-8) &amp; "_p"</f>
        <v>aK_WS_3_3_3_p</v>
      </c>
      <c r="B360">
        <v>2</v>
      </c>
      <c r="C360" t="s">
        <v>6</v>
      </c>
    </row>
    <row r="361" spans="1:8" x14ac:dyDescent="0.25">
      <c r="A361" s="5" t="s">
        <v>7</v>
      </c>
    </row>
    <row r="362" spans="1:8" x14ac:dyDescent="0.25">
      <c r="A362" t="str" cm="1">
        <f t="array" aca="1" ref="A362" ca="1">"aK_PREC_1_" &amp; INDIRECT("F" &amp; ROW(C362) - 10) &amp; "_p"</f>
        <v>aK_PREC_1_3_3_p</v>
      </c>
      <c r="B362">
        <v>0</v>
      </c>
      <c r="C362" t="s">
        <v>4</v>
      </c>
      <c r="F362" s="27"/>
      <c r="G362" s="27"/>
      <c r="H362" s="27"/>
    </row>
    <row r="363" spans="1:8" x14ac:dyDescent="0.25">
      <c r="A363" t="str" cm="1">
        <f t="array" aca="1" ref="A363" ca="1">"aK_PREC_2_" &amp; INDIRECT("F" &amp; ROW(C363) - 11) &amp; "_p"</f>
        <v>aK_PREC_2_3_3_p</v>
      </c>
      <c r="B363">
        <v>0</v>
      </c>
      <c r="C363" t="s">
        <v>5</v>
      </c>
    </row>
    <row r="364" spans="1:8" x14ac:dyDescent="0.25">
      <c r="A364" t="str" cm="1">
        <f t="array" aca="1" ref="A364" ca="1">"aK_PREC_3_" &amp; INDIRECT("F" &amp; ROW(C364) - 12) &amp; "_p"</f>
        <v>aK_PREC_3_3_3_p</v>
      </c>
      <c r="B364">
        <v>2</v>
      </c>
      <c r="C364" t="s">
        <v>6</v>
      </c>
    </row>
    <row r="365" spans="1:8" x14ac:dyDescent="0.25">
      <c r="A365" s="5" t="s">
        <v>9</v>
      </c>
    </row>
    <row r="366" spans="1:8" x14ac:dyDescent="0.25">
      <c r="A366" t="str" cm="1">
        <f t="array" aca="1" ref="A366" ca="1">"aK_SL_1_" &amp; INDIRECT("F" &amp; ROW(C366) - 14) &amp; "_p"</f>
        <v>aK_SL_1_3_3_p</v>
      </c>
      <c r="B366">
        <v>0</v>
      </c>
      <c r="C366" t="s">
        <v>4</v>
      </c>
      <c r="F366" s="27"/>
      <c r="G366" s="27"/>
      <c r="H366" s="27"/>
    </row>
    <row r="367" spans="1:8" x14ac:dyDescent="0.25">
      <c r="A367" t="str" cm="1">
        <f t="array" aca="1" ref="A367" ca="1">"aK_SL_2_" &amp; INDIRECT("F" &amp; ROW(C367) - 15) &amp; "_p"</f>
        <v>aK_SL_2_3_3_p</v>
      </c>
      <c r="B367">
        <v>0</v>
      </c>
      <c r="C367" t="s">
        <v>5</v>
      </c>
    </row>
    <row r="368" spans="1:8" x14ac:dyDescent="0.25">
      <c r="A368" t="str" cm="1">
        <f t="array" aca="1" ref="A368" ca="1">"aK_SL_3_" &amp; INDIRECT("F" &amp; ROW(C368) - 16) &amp; "_p"</f>
        <v>aK_SL_3_3_3_p</v>
      </c>
      <c r="B368">
        <v>2</v>
      </c>
      <c r="C368" t="s">
        <v>6</v>
      </c>
    </row>
    <row r="369" spans="1:6" x14ac:dyDescent="0.25">
      <c r="A369" s="5" t="s">
        <v>95</v>
      </c>
    </row>
    <row r="370" spans="1:6" x14ac:dyDescent="0.25">
      <c r="A370" t="str" cm="1">
        <f t="array" aca="1" ref="A370" ca="1">"aK_DRO_1_" &amp; INDIRECT("F" &amp; ROW(C370) - 18) &amp; "_p"</f>
        <v>aK_DRO_1_3_3_p</v>
      </c>
      <c r="B370">
        <v>0</v>
      </c>
      <c r="C370" t="s">
        <v>4</v>
      </c>
    </row>
    <row r="371" spans="1:6" x14ac:dyDescent="0.25">
      <c r="A371" t="str" cm="1">
        <f t="array" aca="1" ref="A371" ca="1">"aK_DRO_2_" &amp; INDIRECT("F" &amp; ROW(C371) - 19) &amp; "_p"</f>
        <v>aK_DRO_2_3_3_p</v>
      </c>
      <c r="B371">
        <v>0</v>
      </c>
      <c r="C371" t="s">
        <v>5</v>
      </c>
    </row>
    <row r="372" spans="1:6" x14ac:dyDescent="0.25">
      <c r="A372" t="str" cm="1">
        <f t="array" aca="1" ref="A372" ca="1">"aK_DRO_3_" &amp; INDIRECT("F" &amp; ROW(C372) - 20) &amp; "_p"</f>
        <v>aK_DRO_3_3_3_p</v>
      </c>
      <c r="B372">
        <v>2</v>
      </c>
      <c r="C372" t="s">
        <v>6</v>
      </c>
    </row>
    <row r="373" spans="1:6" x14ac:dyDescent="0.25">
      <c r="A373" s="5" t="s">
        <v>96</v>
      </c>
    </row>
    <row r="374" spans="1:6" x14ac:dyDescent="0.25">
      <c r="A374" t="str" cm="1">
        <f t="array" aca="1" ref="A374" ca="1">"aK_CYC_1_" &amp; INDIRECT("F" &amp; ROW(C374) - 22) &amp; "_p"</f>
        <v>aK_CYC_1_3_3_p</v>
      </c>
      <c r="B374">
        <v>0.1</v>
      </c>
      <c r="C374" t="s">
        <v>4</v>
      </c>
    </row>
    <row r="375" spans="1:6" x14ac:dyDescent="0.25">
      <c r="A375" t="str" cm="1">
        <f t="array" aca="1" ref="A375" ca="1">"aK_CYC_2_" &amp; INDIRECT("F" &amp; ROW(C375) - 23) &amp; "_p"</f>
        <v>aK_CYC_2_3_3_p</v>
      </c>
      <c r="B375">
        <v>0</v>
      </c>
      <c r="C375" t="s">
        <v>5</v>
      </c>
    </row>
    <row r="376" spans="1:6" x14ac:dyDescent="0.25">
      <c r="A376" t="str" cm="1">
        <f t="array" aca="1" ref="A376" ca="1">"aK_CYC_3_" &amp; INDIRECT("F" &amp; ROW(C376) - 24) &amp; "_p"</f>
        <v>aK_CYC_3_3_3_p</v>
      </c>
      <c r="B376">
        <v>2</v>
      </c>
      <c r="C376" t="s">
        <v>6</v>
      </c>
    </row>
    <row r="377" spans="1:6" x14ac:dyDescent="0.25">
      <c r="A377" s="26" t="s">
        <v>118</v>
      </c>
      <c r="B377" s="26"/>
      <c r="C377" s="26"/>
      <c r="D377" s="24">
        <v>3</v>
      </c>
      <c r="E377" s="24">
        <v>4</v>
      </c>
      <c r="F377" s="24" t="str">
        <f>D377 &amp; "_" &amp; E377</f>
        <v>3_4</v>
      </c>
    </row>
    <row r="378" spans="1:6" x14ac:dyDescent="0.25">
      <c r="A378" s="5" t="s">
        <v>3</v>
      </c>
    </row>
    <row r="379" spans="1:6" x14ac:dyDescent="0.25">
      <c r="A379" t="str" cm="1">
        <f t="array" aca="1" ref="A379" ca="1">"aK_T_1_" &amp; INDIRECT("F" &amp; ROW(C379)-2) &amp; "_p"</f>
        <v>aK_T_1_3_4_p</v>
      </c>
      <c r="B379">
        <v>0</v>
      </c>
      <c r="C379" t="s">
        <v>4</v>
      </c>
    </row>
    <row r="380" spans="1:6" x14ac:dyDescent="0.25">
      <c r="A380" t="str" cm="1">
        <f t="array" aca="1" ref="A380" ca="1">"aK_T_2_" &amp; INDIRECT("F" &amp; ROW(C380)-3) &amp; "_p"</f>
        <v>aK_T_2_3_4_p</v>
      </c>
      <c r="B380">
        <v>0</v>
      </c>
      <c r="C380" t="s">
        <v>5</v>
      </c>
    </row>
    <row r="381" spans="1:6" x14ac:dyDescent="0.25">
      <c r="A381" t="str" cm="1">
        <f t="array" aca="1" ref="A381" ca="1">"aK_T_3_" &amp; INDIRECT("F" &amp; ROW(C381)-4) &amp; "_p"</f>
        <v>aK_T_3_3_4_p</v>
      </c>
      <c r="B381">
        <v>2</v>
      </c>
      <c r="C381" t="s">
        <v>6</v>
      </c>
    </row>
    <row r="382" spans="1:6" x14ac:dyDescent="0.25">
      <c r="A382" s="5" t="s">
        <v>8</v>
      </c>
    </row>
    <row r="383" spans="1:6" x14ac:dyDescent="0.25">
      <c r="A383" t="str" cm="1">
        <f t="array" aca="1" ref="A383" ca="1">"aK_WS_1_" &amp; INDIRECT("F" &amp; ROW(C383)-6) &amp; "_p"</f>
        <v>aK_WS_1_3_4_p</v>
      </c>
      <c r="B383">
        <v>0</v>
      </c>
      <c r="C383" t="s">
        <v>4</v>
      </c>
    </row>
    <row r="384" spans="1:6" x14ac:dyDescent="0.25">
      <c r="A384" t="str" cm="1">
        <f t="array" aca="1" ref="A384" ca="1">"aK_WS_2_" &amp; INDIRECT("F" &amp; ROW(C384)-7) &amp; "_p"</f>
        <v>aK_WS_2_3_4_p</v>
      </c>
      <c r="B384">
        <v>0</v>
      </c>
      <c r="C384" t="s">
        <v>5</v>
      </c>
    </row>
    <row r="385" spans="1:8" x14ac:dyDescent="0.25">
      <c r="A385" t="str" cm="1">
        <f t="array" aca="1" ref="A385" ca="1">"aK_WS_3_" &amp; INDIRECT("F" &amp; ROW(C385)-8) &amp; "_p"</f>
        <v>aK_WS_3_3_4_p</v>
      </c>
      <c r="B385">
        <v>2</v>
      </c>
      <c r="C385" t="s">
        <v>6</v>
      </c>
    </row>
    <row r="386" spans="1:8" x14ac:dyDescent="0.25">
      <c r="A386" s="5" t="s">
        <v>7</v>
      </c>
      <c r="G386" s="5"/>
      <c r="H386" s="5"/>
    </row>
    <row r="387" spans="1:8" x14ac:dyDescent="0.25">
      <c r="A387" t="str" cm="1">
        <f t="array" aca="1" ref="A387" ca="1">"aK_PREC_1_" &amp; INDIRECT("F" &amp; ROW(C387) - 10) &amp; "_p"</f>
        <v>aK_PREC_1_3_4_p</v>
      </c>
      <c r="B387">
        <v>0</v>
      </c>
      <c r="C387" t="s">
        <v>4</v>
      </c>
      <c r="F387" s="5"/>
    </row>
    <row r="388" spans="1:8" x14ac:dyDescent="0.25">
      <c r="A388" t="str" cm="1">
        <f t="array" aca="1" ref="A388" ca="1">"aK_PREC_2_" &amp; INDIRECT("F" &amp; ROW(C388) - 11) &amp; "_p"</f>
        <v>aK_PREC_2_3_4_p</v>
      </c>
      <c r="B388">
        <v>0</v>
      </c>
      <c r="C388" t="s">
        <v>5</v>
      </c>
    </row>
    <row r="389" spans="1:8" x14ac:dyDescent="0.25">
      <c r="A389" t="str" cm="1">
        <f t="array" aca="1" ref="A389" ca="1">"aK_PREC_3_" &amp; INDIRECT("F" &amp; ROW(C389) - 12) &amp; "_p"</f>
        <v>aK_PREC_3_3_4_p</v>
      </c>
      <c r="B389">
        <v>2</v>
      </c>
      <c r="C389" t="s">
        <v>6</v>
      </c>
    </row>
    <row r="390" spans="1:8" x14ac:dyDescent="0.25">
      <c r="A390" s="5" t="s">
        <v>9</v>
      </c>
      <c r="G390" s="5"/>
      <c r="H390" s="5"/>
    </row>
    <row r="391" spans="1:8" x14ac:dyDescent="0.25">
      <c r="A391" t="str" cm="1">
        <f t="array" aca="1" ref="A391" ca="1">"aK_SL_1_" &amp; INDIRECT("F" &amp; ROW(C391) - 14) &amp; "_p"</f>
        <v>aK_SL_1_3_4_p</v>
      </c>
      <c r="B391">
        <v>0</v>
      </c>
      <c r="C391" t="s">
        <v>4</v>
      </c>
      <c r="F391" s="5"/>
    </row>
    <row r="392" spans="1:8" x14ac:dyDescent="0.25">
      <c r="A392" t="str" cm="1">
        <f t="array" aca="1" ref="A392" ca="1">"aK_SL_2_" &amp; INDIRECT("F" &amp; ROW(C392) - 15) &amp; "_p"</f>
        <v>aK_SL_2_3_4_p</v>
      </c>
      <c r="B392">
        <v>0</v>
      </c>
      <c r="C392" t="s">
        <v>5</v>
      </c>
    </row>
    <row r="393" spans="1:8" x14ac:dyDescent="0.25">
      <c r="A393" t="str" cm="1">
        <f t="array" aca="1" ref="A393" ca="1">"aK_SL_3_" &amp; INDIRECT("F" &amp; ROW(C393) - 16) &amp; "_p"</f>
        <v>aK_SL_3_3_4_p</v>
      </c>
      <c r="B393">
        <v>2</v>
      </c>
      <c r="C393" t="s">
        <v>6</v>
      </c>
    </row>
    <row r="394" spans="1:8" x14ac:dyDescent="0.25">
      <c r="A394" s="5" t="s">
        <v>95</v>
      </c>
    </row>
    <row r="395" spans="1:8" x14ac:dyDescent="0.25">
      <c r="A395" t="str" cm="1">
        <f t="array" aca="1" ref="A395" ca="1">"aK_DRO_1_" &amp; INDIRECT("F" &amp; ROW(C395) - 18) &amp; "_p"</f>
        <v>aK_DRO_1_3_4_p</v>
      </c>
      <c r="B395">
        <v>0</v>
      </c>
      <c r="C395" t="s">
        <v>4</v>
      </c>
    </row>
    <row r="396" spans="1:8" x14ac:dyDescent="0.25">
      <c r="A396" t="str" cm="1">
        <f t="array" aca="1" ref="A396" ca="1">"aK_DRO_2_" &amp; INDIRECT("F" &amp; ROW(C396) - 19) &amp; "_p"</f>
        <v>aK_DRO_2_3_4_p</v>
      </c>
      <c r="B396">
        <v>0</v>
      </c>
      <c r="C396" t="s">
        <v>5</v>
      </c>
    </row>
    <row r="397" spans="1:8" x14ac:dyDescent="0.25">
      <c r="A397" t="str" cm="1">
        <f t="array" aca="1" ref="A397" ca="1">"aK_DRO_3_" &amp; INDIRECT("F" &amp; ROW(C397) - 20) &amp; "_p"</f>
        <v>aK_DRO_3_3_4_p</v>
      </c>
      <c r="B397">
        <v>2</v>
      </c>
      <c r="C397" t="s">
        <v>6</v>
      </c>
    </row>
    <row r="398" spans="1:8" x14ac:dyDescent="0.25">
      <c r="A398" s="5" t="s">
        <v>96</v>
      </c>
    </row>
    <row r="399" spans="1:8" x14ac:dyDescent="0.25">
      <c r="A399" t="str" cm="1">
        <f t="array" aca="1" ref="A399" ca="1">"aK_CYC_1_" &amp; INDIRECT("F" &amp; ROW(C399) - 22) &amp; "_p"</f>
        <v>aK_CYC_1_3_4_p</v>
      </c>
      <c r="B399">
        <v>0.1</v>
      </c>
      <c r="C399" t="s">
        <v>4</v>
      </c>
    </row>
    <row r="400" spans="1:8" x14ac:dyDescent="0.25">
      <c r="A400" t="str" cm="1">
        <f t="array" aca="1" ref="A400" ca="1">"aK_CYC_2_" &amp; INDIRECT("F" &amp; ROW(C400) - 23) &amp; "_p"</f>
        <v>aK_CYC_2_3_4_p</v>
      </c>
      <c r="B400">
        <v>0</v>
      </c>
      <c r="C400" t="s">
        <v>5</v>
      </c>
    </row>
    <row r="401" spans="1:8" x14ac:dyDescent="0.25">
      <c r="A401" t="str" cm="1">
        <f t="array" aca="1" ref="A401" ca="1">"aK_CYC_3_" &amp; INDIRECT("F" &amp; ROW(C401) - 24) &amp; "_p"</f>
        <v>aK_CYC_3_3_4_p</v>
      </c>
      <c r="B401">
        <v>2</v>
      </c>
      <c r="C401" t="s">
        <v>6</v>
      </c>
    </row>
    <row r="402" spans="1:8" x14ac:dyDescent="0.25">
      <c r="A402" s="26" t="s">
        <v>119</v>
      </c>
      <c r="B402" s="26"/>
      <c r="C402" s="26"/>
      <c r="D402" s="24">
        <v>3</v>
      </c>
      <c r="E402" s="24">
        <v>5</v>
      </c>
      <c r="F402" s="24" t="str">
        <f>D402 &amp; "_" &amp; E402</f>
        <v>3_5</v>
      </c>
    </row>
    <row r="403" spans="1:8" x14ac:dyDescent="0.25">
      <c r="A403" s="5" t="s">
        <v>3</v>
      </c>
    </row>
    <row r="404" spans="1:8" x14ac:dyDescent="0.25">
      <c r="A404" t="str" cm="1">
        <f t="array" aca="1" ref="A404" ca="1">"aK_T_1_" &amp; INDIRECT("F" &amp; ROW(C404)-2) &amp; "_p"</f>
        <v>aK_T_1_3_5_p</v>
      </c>
      <c r="B404">
        <v>0</v>
      </c>
      <c r="C404" t="s">
        <v>4</v>
      </c>
    </row>
    <row r="405" spans="1:8" x14ac:dyDescent="0.25">
      <c r="A405" t="str" cm="1">
        <f t="array" aca="1" ref="A405" ca="1">"aK_T_2_" &amp; INDIRECT("F" &amp; ROW(C405)-3) &amp; "_p"</f>
        <v>aK_T_2_3_5_p</v>
      </c>
      <c r="B405">
        <v>0</v>
      </c>
      <c r="C405" t="s">
        <v>5</v>
      </c>
    </row>
    <row r="406" spans="1:8" x14ac:dyDescent="0.25">
      <c r="A406" t="str" cm="1">
        <f t="array" aca="1" ref="A406" ca="1">"aK_T_3_" &amp; INDIRECT("F" &amp; ROW(C406)-4) &amp; "_p"</f>
        <v>aK_T_3_3_5_p</v>
      </c>
      <c r="B406">
        <v>2</v>
      </c>
      <c r="C406" t="s">
        <v>6</v>
      </c>
    </row>
    <row r="407" spans="1:8" x14ac:dyDescent="0.25">
      <c r="A407" s="5" t="s">
        <v>8</v>
      </c>
    </row>
    <row r="408" spans="1:8" x14ac:dyDescent="0.25">
      <c r="A408" t="str" cm="1">
        <f t="array" aca="1" ref="A408" ca="1">"aK_WS_1_" &amp; INDIRECT("F" &amp; ROW(C408)-6) &amp; "_p"</f>
        <v>aK_WS_1_3_5_p</v>
      </c>
      <c r="B408">
        <v>0</v>
      </c>
      <c r="C408" t="s">
        <v>4</v>
      </c>
    </row>
    <row r="409" spans="1:8" x14ac:dyDescent="0.25">
      <c r="A409" t="str" cm="1">
        <f t="array" aca="1" ref="A409" ca="1">"aK_WS_2_" &amp; INDIRECT("F" &amp; ROW(C409)-7) &amp; "_p"</f>
        <v>aK_WS_2_3_5_p</v>
      </c>
      <c r="B409">
        <v>0</v>
      </c>
      <c r="C409" t="s">
        <v>5</v>
      </c>
    </row>
    <row r="410" spans="1:8" x14ac:dyDescent="0.25">
      <c r="A410" t="str" cm="1">
        <f t="array" aca="1" ref="A410" ca="1">"aK_WS_3_" &amp; INDIRECT("F" &amp; ROW(C410)-8) &amp; "_p"</f>
        <v>aK_WS_3_3_5_p</v>
      </c>
      <c r="B410">
        <v>2</v>
      </c>
      <c r="C410" t="s">
        <v>6</v>
      </c>
    </row>
    <row r="411" spans="1:8" x14ac:dyDescent="0.25">
      <c r="A411" s="5" t="s">
        <v>7</v>
      </c>
      <c r="G411" s="5"/>
      <c r="H411" s="5"/>
    </row>
    <row r="412" spans="1:8" x14ac:dyDescent="0.25">
      <c r="A412" t="str" cm="1">
        <f t="array" aca="1" ref="A412" ca="1">"aK_PREC_1_" &amp; INDIRECT("F" &amp; ROW(C412) - 10) &amp; "_p"</f>
        <v>aK_PREC_1_3_5_p</v>
      </c>
      <c r="B412">
        <v>0</v>
      </c>
      <c r="C412" t="s">
        <v>4</v>
      </c>
      <c r="F412" s="5"/>
    </row>
    <row r="413" spans="1:8" x14ac:dyDescent="0.25">
      <c r="A413" t="str" cm="1">
        <f t="array" aca="1" ref="A413" ca="1">"aK_PREC_2_" &amp; INDIRECT("F" &amp; ROW(C413) - 11) &amp; "_p"</f>
        <v>aK_PREC_2_3_5_p</v>
      </c>
      <c r="B413">
        <v>0</v>
      </c>
      <c r="C413" t="s">
        <v>5</v>
      </c>
    </row>
    <row r="414" spans="1:8" x14ac:dyDescent="0.25">
      <c r="A414" t="str" cm="1">
        <f t="array" aca="1" ref="A414" ca="1">"aK_PREC_3_" &amp; INDIRECT("F" &amp; ROW(C414) - 12) &amp; "_p"</f>
        <v>aK_PREC_3_3_5_p</v>
      </c>
      <c r="B414">
        <v>2</v>
      </c>
      <c r="C414" t="s">
        <v>6</v>
      </c>
    </row>
    <row r="415" spans="1:8" x14ac:dyDescent="0.25">
      <c r="A415" s="5" t="s">
        <v>9</v>
      </c>
      <c r="G415" s="5"/>
      <c r="H415" s="5"/>
    </row>
    <row r="416" spans="1:8" x14ac:dyDescent="0.25">
      <c r="A416" t="str" cm="1">
        <f t="array" aca="1" ref="A416" ca="1">"aK_SL_1_" &amp; INDIRECT("F" &amp; ROW(C416) - 14) &amp; "_p"</f>
        <v>aK_SL_1_3_5_p</v>
      </c>
      <c r="B416">
        <v>0</v>
      </c>
      <c r="C416" t="s">
        <v>4</v>
      </c>
      <c r="F416" s="5"/>
    </row>
    <row r="417" spans="1:6" x14ac:dyDescent="0.25">
      <c r="A417" t="str" cm="1">
        <f t="array" aca="1" ref="A417" ca="1">"aK_SL_2_" &amp; INDIRECT("F" &amp; ROW(C417) - 15) &amp; "_p"</f>
        <v>aK_SL_2_3_5_p</v>
      </c>
      <c r="B417">
        <v>0</v>
      </c>
      <c r="C417" t="s">
        <v>5</v>
      </c>
    </row>
    <row r="418" spans="1:6" x14ac:dyDescent="0.25">
      <c r="A418" t="str" cm="1">
        <f t="array" aca="1" ref="A418" ca="1">"aK_SL_3_" &amp; INDIRECT("F" &amp; ROW(C418) - 16) &amp; "_p"</f>
        <v>aK_SL_3_3_5_p</v>
      </c>
      <c r="B418">
        <v>2</v>
      </c>
      <c r="C418" t="s">
        <v>6</v>
      </c>
    </row>
    <row r="419" spans="1:6" x14ac:dyDescent="0.25">
      <c r="A419" s="5" t="s">
        <v>95</v>
      </c>
    </row>
    <row r="420" spans="1:6" x14ac:dyDescent="0.25">
      <c r="A420" t="str" cm="1">
        <f t="array" aca="1" ref="A420" ca="1">"aK_DRO_1_" &amp; INDIRECT("F" &amp; ROW(C420) - 18) &amp; "_p"</f>
        <v>aK_DRO_1_3_5_p</v>
      </c>
      <c r="B420">
        <v>0</v>
      </c>
      <c r="C420" t="s">
        <v>4</v>
      </c>
    </row>
    <row r="421" spans="1:6" x14ac:dyDescent="0.25">
      <c r="A421" t="str" cm="1">
        <f t="array" aca="1" ref="A421" ca="1">"aK_DRO_2_" &amp; INDIRECT("F" &amp; ROW(C421) - 19) &amp; "_p"</f>
        <v>aK_DRO_2_3_5_p</v>
      </c>
      <c r="B421">
        <v>0</v>
      </c>
      <c r="C421" t="s">
        <v>5</v>
      </c>
    </row>
    <row r="422" spans="1:6" x14ac:dyDescent="0.25">
      <c r="A422" t="str" cm="1">
        <f t="array" aca="1" ref="A422" ca="1">"aK_DRO_3_" &amp; INDIRECT("F" &amp; ROW(C422) - 20) &amp; "_p"</f>
        <v>aK_DRO_3_3_5_p</v>
      </c>
      <c r="B422">
        <v>2</v>
      </c>
      <c r="C422" t="s">
        <v>6</v>
      </c>
    </row>
    <row r="423" spans="1:6" x14ac:dyDescent="0.25">
      <c r="A423" s="5" t="s">
        <v>96</v>
      </c>
    </row>
    <row r="424" spans="1:6" x14ac:dyDescent="0.25">
      <c r="A424" t="str" cm="1">
        <f t="array" aca="1" ref="A424" ca="1">"aK_CYC_1_" &amp; INDIRECT("F" &amp; ROW(C424) - 22) &amp; "_p"</f>
        <v>aK_CYC_1_3_5_p</v>
      </c>
      <c r="B424">
        <v>0.1</v>
      </c>
      <c r="C424" t="s">
        <v>4</v>
      </c>
    </row>
    <row r="425" spans="1:6" x14ac:dyDescent="0.25">
      <c r="A425" t="str" cm="1">
        <f t="array" aca="1" ref="A425" ca="1">"aK_CYC_2_" &amp; INDIRECT("F" &amp; ROW(C425) - 23) &amp; "_p"</f>
        <v>aK_CYC_2_3_5_p</v>
      </c>
      <c r="B425">
        <v>0</v>
      </c>
      <c r="C425" t="s">
        <v>5</v>
      </c>
    </row>
    <row r="426" spans="1:6" x14ac:dyDescent="0.25">
      <c r="A426" t="str" cm="1">
        <f t="array" aca="1" ref="A426" ca="1">"aK_CYC_3_" &amp; INDIRECT("F" &amp; ROW(C426) - 24) &amp; "_p"</f>
        <v>aK_CYC_3_3_5_p</v>
      </c>
      <c r="B426">
        <v>2</v>
      </c>
      <c r="C426" t="s">
        <v>6</v>
      </c>
    </row>
    <row r="427" spans="1:6" x14ac:dyDescent="0.25">
      <c r="A427" s="31" t="s">
        <v>120</v>
      </c>
      <c r="B427" s="31"/>
      <c r="C427" s="31"/>
      <c r="D427" s="25">
        <v>3</v>
      </c>
      <c r="E427" s="25">
        <v>6</v>
      </c>
      <c r="F427" s="25" t="s">
        <v>193</v>
      </c>
    </row>
    <row r="428" spans="1:6" x14ac:dyDescent="0.25">
      <c r="A428" s="5" t="s">
        <v>3</v>
      </c>
    </row>
    <row r="429" spans="1:6" x14ac:dyDescent="0.25">
      <c r="A429" t="str" cm="1">
        <f t="array" aca="1" ref="A429" ca="1">"aK_T_1_" &amp; INDIRECT("F" &amp; ROW(C429)-2) &amp; "_p"</f>
        <v>aK_T_1_3_6_p</v>
      </c>
      <c r="B429">
        <v>0</v>
      </c>
      <c r="C429" t="s">
        <v>4</v>
      </c>
    </row>
    <row r="430" spans="1:6" x14ac:dyDescent="0.25">
      <c r="A430" t="str" cm="1">
        <f t="array" aca="1" ref="A430" ca="1">"aK_T_2_" &amp; INDIRECT("F" &amp; ROW(C430)-3) &amp; "_p"</f>
        <v>aK_T_2_3_6_p</v>
      </c>
      <c r="B430">
        <v>0</v>
      </c>
      <c r="C430" t="s">
        <v>5</v>
      </c>
    </row>
    <row r="431" spans="1:6" x14ac:dyDescent="0.25">
      <c r="A431" t="str" cm="1">
        <f t="array" aca="1" ref="A431" ca="1">"aK_T_3_" &amp; INDIRECT("F" &amp; ROW(C431)-4) &amp; "_p"</f>
        <v>aK_T_3_3_6_p</v>
      </c>
      <c r="B431">
        <v>2</v>
      </c>
      <c r="C431" t="s">
        <v>6</v>
      </c>
    </row>
    <row r="432" spans="1:6" x14ac:dyDescent="0.25">
      <c r="A432" s="5" t="s">
        <v>8</v>
      </c>
    </row>
    <row r="433" spans="1:8" x14ac:dyDescent="0.25">
      <c r="A433" t="str" cm="1">
        <f t="array" aca="1" ref="A433" ca="1">"aK_WS_1_" &amp; INDIRECT("F" &amp; ROW(C433)-6) &amp; "_p"</f>
        <v>aK_WS_1_3_6_p</v>
      </c>
      <c r="B433">
        <v>0</v>
      </c>
      <c r="C433" t="s">
        <v>4</v>
      </c>
    </row>
    <row r="434" spans="1:8" x14ac:dyDescent="0.25">
      <c r="A434" t="str" cm="1">
        <f t="array" aca="1" ref="A434" ca="1">"aK_WS_2_" &amp; INDIRECT("F" &amp; ROW(C434)-7) &amp; "_p"</f>
        <v>aK_WS_2_3_6_p</v>
      </c>
      <c r="B434">
        <v>0</v>
      </c>
      <c r="C434" t="s">
        <v>5</v>
      </c>
    </row>
    <row r="435" spans="1:8" x14ac:dyDescent="0.25">
      <c r="A435" t="str" cm="1">
        <f t="array" aca="1" ref="A435" ca="1">"aK_WS_3_" &amp; INDIRECT("F" &amp; ROW(C435)-8) &amp; "_p"</f>
        <v>aK_WS_3_3_6_p</v>
      </c>
      <c r="B435">
        <v>2</v>
      </c>
      <c r="C435" t="s">
        <v>6</v>
      </c>
    </row>
    <row r="436" spans="1:8" x14ac:dyDescent="0.25">
      <c r="A436" s="5" t="s">
        <v>7</v>
      </c>
      <c r="G436" s="5"/>
      <c r="H436" s="5"/>
    </row>
    <row r="437" spans="1:8" x14ac:dyDescent="0.25">
      <c r="A437" t="str" cm="1">
        <f t="array" aca="1" ref="A437" ca="1">"aK_PREC_1_" &amp; INDIRECT("F" &amp; ROW(C437) - 10) &amp; "_p"</f>
        <v>aK_PREC_1_3_6_p</v>
      </c>
      <c r="B437">
        <v>0</v>
      </c>
      <c r="C437" t="s">
        <v>4</v>
      </c>
      <c r="F437" s="5"/>
    </row>
    <row r="438" spans="1:8" x14ac:dyDescent="0.25">
      <c r="A438" t="str" cm="1">
        <f t="array" aca="1" ref="A438" ca="1">"aK_PREC_2_" &amp; INDIRECT("F" &amp; ROW(C438) - 11) &amp; "_p"</f>
        <v>aK_PREC_2_3_6_p</v>
      </c>
      <c r="B438">
        <v>0</v>
      </c>
      <c r="C438" t="s">
        <v>5</v>
      </c>
    </row>
    <row r="439" spans="1:8" x14ac:dyDescent="0.25">
      <c r="A439" t="str" cm="1">
        <f t="array" aca="1" ref="A439" ca="1">"aK_PREC_3_" &amp; INDIRECT("F" &amp; ROW(C439) - 12) &amp; "_p"</f>
        <v>aK_PREC_3_3_6_p</v>
      </c>
      <c r="B439">
        <v>2</v>
      </c>
      <c r="C439" t="s">
        <v>6</v>
      </c>
    </row>
    <row r="440" spans="1:8" x14ac:dyDescent="0.25">
      <c r="A440" s="5" t="s">
        <v>9</v>
      </c>
      <c r="G440" s="5"/>
      <c r="H440" s="5"/>
    </row>
    <row r="441" spans="1:8" x14ac:dyDescent="0.25">
      <c r="A441" t="str" cm="1">
        <f t="array" aca="1" ref="A441" ca="1">"aK_SL_1_" &amp; INDIRECT("F" &amp; ROW(C441) - 14) &amp; "_p"</f>
        <v>aK_SL_1_3_6_p</v>
      </c>
      <c r="B441">
        <v>0</v>
      </c>
      <c r="C441" t="s">
        <v>4</v>
      </c>
      <c r="F441" s="5"/>
    </row>
    <row r="442" spans="1:8" x14ac:dyDescent="0.25">
      <c r="A442" t="str" cm="1">
        <f t="array" aca="1" ref="A442" ca="1">"aK_SL_2_" &amp; INDIRECT("F" &amp; ROW(C442) - 15) &amp; "_p"</f>
        <v>aK_SL_2_3_6_p</v>
      </c>
      <c r="B442">
        <v>0</v>
      </c>
      <c r="C442" t="s">
        <v>5</v>
      </c>
    </row>
    <row r="443" spans="1:8" x14ac:dyDescent="0.25">
      <c r="A443" t="str" cm="1">
        <f t="array" aca="1" ref="A443" ca="1">"aK_SL_3_" &amp; INDIRECT("F" &amp; ROW(C443) - 16) &amp; "_p"</f>
        <v>aK_SL_3_3_6_p</v>
      </c>
      <c r="B443">
        <v>2</v>
      </c>
      <c r="C443" t="s">
        <v>6</v>
      </c>
    </row>
    <row r="444" spans="1:8" x14ac:dyDescent="0.25">
      <c r="A444" s="5" t="s">
        <v>95</v>
      </c>
    </row>
    <row r="445" spans="1:8" x14ac:dyDescent="0.25">
      <c r="A445" t="str" cm="1">
        <f t="array" aca="1" ref="A445" ca="1">"aK_DRO_1_" &amp; INDIRECT("F" &amp; ROW(C445) - 18) &amp; "_p"</f>
        <v>aK_DRO_1_3_6_p</v>
      </c>
      <c r="B445">
        <v>0</v>
      </c>
      <c r="C445" t="s">
        <v>4</v>
      </c>
    </row>
    <row r="446" spans="1:8" x14ac:dyDescent="0.25">
      <c r="A446" t="str" cm="1">
        <f t="array" aca="1" ref="A446" ca="1">"aK_DRO_2_" &amp; INDIRECT("F" &amp; ROW(C446) - 19) &amp; "_p"</f>
        <v>aK_DRO_2_3_6_p</v>
      </c>
      <c r="B446">
        <v>0</v>
      </c>
      <c r="C446" t="s">
        <v>5</v>
      </c>
    </row>
    <row r="447" spans="1:8" x14ac:dyDescent="0.25">
      <c r="A447" t="str" cm="1">
        <f t="array" aca="1" ref="A447" ca="1">"aK_DRO_3_" &amp; INDIRECT("F" &amp; ROW(C447) - 20) &amp; "_p"</f>
        <v>aK_DRO_3_3_6_p</v>
      </c>
      <c r="B447">
        <v>2</v>
      </c>
      <c r="C447" t="s">
        <v>6</v>
      </c>
    </row>
    <row r="448" spans="1:8" x14ac:dyDescent="0.25">
      <c r="A448" s="5" t="s">
        <v>96</v>
      </c>
    </row>
    <row r="449" spans="1:8" x14ac:dyDescent="0.25">
      <c r="A449" t="str" cm="1">
        <f t="array" aca="1" ref="A449" ca="1">"aK_CYC_1_" &amp; INDIRECT("F" &amp; ROW(C449) - 22) &amp; "_p"</f>
        <v>aK_CYC_1_3_6_p</v>
      </c>
      <c r="B449">
        <v>0.1</v>
      </c>
      <c r="C449" t="s">
        <v>4</v>
      </c>
    </row>
    <row r="450" spans="1:8" x14ac:dyDescent="0.25">
      <c r="A450" t="str" cm="1">
        <f t="array" aca="1" ref="A450" ca="1">"aK_CYC_2_" &amp; INDIRECT("F" &amp; ROW(C450) - 23) &amp; "_p"</f>
        <v>aK_CYC_2_3_6_p</v>
      </c>
      <c r="B450">
        <v>0</v>
      </c>
      <c r="C450" t="s">
        <v>5</v>
      </c>
    </row>
    <row r="451" spans="1:8" x14ac:dyDescent="0.25">
      <c r="A451" t="str" cm="1">
        <f t="array" aca="1" ref="A451" ca="1">"aK_CYC_3_" &amp; INDIRECT("F" &amp; ROW(C451) - 24) &amp; "_p"</f>
        <v>aK_CYC_3_3_6_p</v>
      </c>
      <c r="B451">
        <v>2</v>
      </c>
      <c r="C451" t="s">
        <v>6</v>
      </c>
    </row>
    <row r="452" spans="1:8" x14ac:dyDescent="0.25">
      <c r="A452" s="31" t="s">
        <v>121</v>
      </c>
      <c r="B452" s="31"/>
      <c r="C452" s="31"/>
      <c r="D452" s="25">
        <v>4</v>
      </c>
      <c r="E452" s="25">
        <v>1</v>
      </c>
      <c r="F452" s="25" t="s">
        <v>192</v>
      </c>
    </row>
    <row r="453" spans="1:8" x14ac:dyDescent="0.25">
      <c r="A453" s="5" t="s">
        <v>3</v>
      </c>
    </row>
    <row r="454" spans="1:8" x14ac:dyDescent="0.25">
      <c r="A454" t="str" cm="1">
        <f t="array" aca="1" ref="A454" ca="1">"aK_T_1_" &amp; INDIRECT("F" &amp; ROW(C454)-2) &amp; "_p"</f>
        <v>aK_T_1_4_1_p</v>
      </c>
      <c r="B454">
        <v>0</v>
      </c>
      <c r="C454" t="s">
        <v>4</v>
      </c>
    </row>
    <row r="455" spans="1:8" x14ac:dyDescent="0.25">
      <c r="A455" t="str" cm="1">
        <f t="array" aca="1" ref="A455" ca="1">"aK_T_2_" &amp; INDIRECT("F" &amp; ROW(C455)-3) &amp; "_p"</f>
        <v>aK_T_2_4_1_p</v>
      </c>
      <c r="B455">
        <v>0</v>
      </c>
      <c r="C455" t="s">
        <v>5</v>
      </c>
    </row>
    <row r="456" spans="1:8" x14ac:dyDescent="0.25">
      <c r="A456" t="str" cm="1">
        <f t="array" aca="1" ref="A456" ca="1">"aK_T_3_" &amp; INDIRECT("F" &amp; ROW(C456)-4) &amp; "_p"</f>
        <v>aK_T_3_4_1_p</v>
      </c>
      <c r="B456">
        <v>2</v>
      </c>
      <c r="C456" t="s">
        <v>6</v>
      </c>
    </row>
    <row r="457" spans="1:8" x14ac:dyDescent="0.25">
      <c r="A457" s="5" t="s">
        <v>8</v>
      </c>
    </row>
    <row r="458" spans="1:8" x14ac:dyDescent="0.25">
      <c r="A458" t="str" cm="1">
        <f t="array" aca="1" ref="A458" ca="1">"aK_WS_1_" &amp; INDIRECT("F" &amp; ROW(C458)-6) &amp; "_p"</f>
        <v>aK_WS_1_4_1_p</v>
      </c>
      <c r="B458">
        <v>0</v>
      </c>
      <c r="C458" t="s">
        <v>4</v>
      </c>
    </row>
    <row r="459" spans="1:8" x14ac:dyDescent="0.25">
      <c r="A459" t="str" cm="1">
        <f t="array" aca="1" ref="A459" ca="1">"aK_WS_2_" &amp; INDIRECT("F" &amp; ROW(C459)-7) &amp; "_p"</f>
        <v>aK_WS_2_4_1_p</v>
      </c>
      <c r="B459">
        <v>0</v>
      </c>
      <c r="C459" t="s">
        <v>5</v>
      </c>
    </row>
    <row r="460" spans="1:8" x14ac:dyDescent="0.25">
      <c r="A460" t="str" cm="1">
        <f t="array" aca="1" ref="A460" ca="1">"aK_WS_3_" &amp; INDIRECT("F" &amp; ROW(C460)-8) &amp; "_p"</f>
        <v>aK_WS_3_4_1_p</v>
      </c>
      <c r="B460">
        <v>2</v>
      </c>
      <c r="C460" t="s">
        <v>6</v>
      </c>
    </row>
    <row r="461" spans="1:8" x14ac:dyDescent="0.25">
      <c r="A461" s="5" t="s">
        <v>7</v>
      </c>
      <c r="G461" s="5"/>
      <c r="H461" s="5"/>
    </row>
    <row r="462" spans="1:8" x14ac:dyDescent="0.25">
      <c r="A462" t="str" cm="1">
        <f t="array" aca="1" ref="A462" ca="1">"aK_PREC_1_" &amp; INDIRECT("F" &amp; ROW(C462) - 10) &amp; "_p"</f>
        <v>aK_PREC_1_4_1_p</v>
      </c>
      <c r="B462">
        <v>0</v>
      </c>
      <c r="C462" t="s">
        <v>4</v>
      </c>
      <c r="F462" s="5"/>
    </row>
    <row r="463" spans="1:8" x14ac:dyDescent="0.25">
      <c r="A463" t="str" cm="1">
        <f t="array" aca="1" ref="A463" ca="1">"aK_PREC_2_" &amp; INDIRECT("F" &amp; ROW(C463) - 11) &amp; "_p"</f>
        <v>aK_PREC_2_4_1_p</v>
      </c>
      <c r="B463">
        <v>0</v>
      </c>
      <c r="C463" t="s">
        <v>5</v>
      </c>
    </row>
    <row r="464" spans="1:8" x14ac:dyDescent="0.25">
      <c r="A464" t="str" cm="1">
        <f t="array" aca="1" ref="A464" ca="1">"aK_PREC_3_" &amp; INDIRECT("F" &amp; ROW(C464) - 12) &amp; "_p"</f>
        <v>aK_PREC_3_4_1_p</v>
      </c>
      <c r="B464">
        <v>2</v>
      </c>
      <c r="C464" t="s">
        <v>6</v>
      </c>
    </row>
    <row r="465" spans="1:8" x14ac:dyDescent="0.25">
      <c r="A465" s="5" t="s">
        <v>9</v>
      </c>
      <c r="G465" s="5"/>
      <c r="H465" s="5"/>
    </row>
    <row r="466" spans="1:8" x14ac:dyDescent="0.25">
      <c r="A466" t="str" cm="1">
        <f t="array" aca="1" ref="A466" ca="1">"aK_SL_1_" &amp; INDIRECT("F" &amp; ROW(C466) - 14) &amp; "_p"</f>
        <v>aK_SL_1_4_1_p</v>
      </c>
      <c r="B466">
        <v>0</v>
      </c>
      <c r="C466" t="s">
        <v>4</v>
      </c>
      <c r="F466" s="5"/>
    </row>
    <row r="467" spans="1:8" x14ac:dyDescent="0.25">
      <c r="A467" t="str" cm="1">
        <f t="array" aca="1" ref="A467" ca="1">"aK_SL_2_" &amp; INDIRECT("F" &amp; ROW(C467) - 15) &amp; "_p"</f>
        <v>aK_SL_2_4_1_p</v>
      </c>
      <c r="B467">
        <v>0</v>
      </c>
      <c r="C467" t="s">
        <v>5</v>
      </c>
    </row>
    <row r="468" spans="1:8" x14ac:dyDescent="0.25">
      <c r="A468" t="str" cm="1">
        <f t="array" aca="1" ref="A468" ca="1">"aK_SL_3_" &amp; INDIRECT("F" &amp; ROW(C468) - 16) &amp; "_p"</f>
        <v>aK_SL_3_4_1_p</v>
      </c>
      <c r="B468">
        <v>2</v>
      </c>
      <c r="C468" t="s">
        <v>6</v>
      </c>
    </row>
    <row r="469" spans="1:8" x14ac:dyDescent="0.25">
      <c r="A469" s="5" t="s">
        <v>95</v>
      </c>
    </row>
    <row r="470" spans="1:8" x14ac:dyDescent="0.25">
      <c r="A470" t="str" cm="1">
        <f t="array" aca="1" ref="A470" ca="1">"aK_DRO_1_" &amp; INDIRECT("F" &amp; ROW(C470) - 18) &amp; "_p"</f>
        <v>aK_DRO_1_4_1_p</v>
      </c>
      <c r="B470">
        <v>0</v>
      </c>
      <c r="C470" t="s">
        <v>4</v>
      </c>
    </row>
    <row r="471" spans="1:8" x14ac:dyDescent="0.25">
      <c r="A471" t="str" cm="1">
        <f t="array" aca="1" ref="A471" ca="1">"aK_DRO_2_" &amp; INDIRECT("F" &amp; ROW(C471) - 19) &amp; "_p"</f>
        <v>aK_DRO_2_4_1_p</v>
      </c>
      <c r="B471">
        <v>0</v>
      </c>
      <c r="C471" t="s">
        <v>5</v>
      </c>
    </row>
    <row r="472" spans="1:8" x14ac:dyDescent="0.25">
      <c r="A472" t="str" cm="1">
        <f t="array" aca="1" ref="A472" ca="1">"aK_DRO_3_" &amp; INDIRECT("F" &amp; ROW(C472) - 20) &amp; "_p"</f>
        <v>aK_DRO_3_4_1_p</v>
      </c>
      <c r="B472">
        <v>2</v>
      </c>
      <c r="C472" t="s">
        <v>6</v>
      </c>
    </row>
    <row r="473" spans="1:8" x14ac:dyDescent="0.25">
      <c r="A473" s="5" t="s">
        <v>96</v>
      </c>
    </row>
    <row r="474" spans="1:8" x14ac:dyDescent="0.25">
      <c r="A474" t="str" cm="1">
        <f t="array" aca="1" ref="A474" ca="1">"aK_CYC_1_" &amp; INDIRECT("F" &amp; ROW(C474) - 22) &amp; "_p"</f>
        <v>aK_CYC_1_4_1_p</v>
      </c>
      <c r="B474">
        <v>0.1</v>
      </c>
      <c r="C474" t="s">
        <v>4</v>
      </c>
    </row>
    <row r="475" spans="1:8" x14ac:dyDescent="0.25">
      <c r="A475" t="str" cm="1">
        <f t="array" aca="1" ref="A475" ca="1">"aK_CYC_2_" &amp; INDIRECT("F" &amp; ROW(C475) - 23) &amp; "_p"</f>
        <v>aK_CYC_2_4_1_p</v>
      </c>
      <c r="B475">
        <v>0</v>
      </c>
      <c r="C475" t="s">
        <v>5</v>
      </c>
    </row>
    <row r="476" spans="1:8" x14ac:dyDescent="0.25">
      <c r="A476" t="str" cm="1">
        <f t="array" aca="1" ref="A476" ca="1">"aK_CYC_3_" &amp; INDIRECT("F" &amp; ROW(C476) - 24) &amp; "_p"</f>
        <v>aK_CYC_3_4_1_p</v>
      </c>
      <c r="B476">
        <v>2</v>
      </c>
      <c r="C476" t="s">
        <v>6</v>
      </c>
    </row>
    <row r="477" spans="1:8" x14ac:dyDescent="0.25">
      <c r="A477" s="31" t="s">
        <v>122</v>
      </c>
      <c r="B477" s="31"/>
      <c r="C477" s="31"/>
      <c r="D477" s="25">
        <v>4</v>
      </c>
      <c r="E477" s="25">
        <v>2</v>
      </c>
      <c r="F477" s="25" t="s">
        <v>191</v>
      </c>
    </row>
    <row r="478" spans="1:8" x14ac:dyDescent="0.25">
      <c r="A478" s="5" t="s">
        <v>3</v>
      </c>
    </row>
    <row r="479" spans="1:8" x14ac:dyDescent="0.25">
      <c r="A479" t="str" cm="1">
        <f t="array" aca="1" ref="A479" ca="1">"aK_T_1_" &amp; INDIRECT("F" &amp; ROW(C479)-2) &amp; "_p"</f>
        <v>aK_T_1_4_2_p</v>
      </c>
      <c r="B479">
        <v>0</v>
      </c>
      <c r="C479" t="s">
        <v>4</v>
      </c>
    </row>
    <row r="480" spans="1:8" x14ac:dyDescent="0.25">
      <c r="A480" t="str" cm="1">
        <f t="array" aca="1" ref="A480" ca="1">"aK_T_2_" &amp; INDIRECT("F" &amp; ROW(C480)-3) &amp; "_p"</f>
        <v>aK_T_2_4_2_p</v>
      </c>
      <c r="B480">
        <v>0</v>
      </c>
      <c r="C480" t="s">
        <v>5</v>
      </c>
    </row>
    <row r="481" spans="1:8" x14ac:dyDescent="0.25">
      <c r="A481" t="str" cm="1">
        <f t="array" aca="1" ref="A481" ca="1">"aK_T_3_" &amp; INDIRECT("F" &amp; ROW(C481)-4) &amp; "_p"</f>
        <v>aK_T_3_4_2_p</v>
      </c>
      <c r="B481">
        <v>2</v>
      </c>
      <c r="C481" t="s">
        <v>6</v>
      </c>
    </row>
    <row r="482" spans="1:8" x14ac:dyDescent="0.25">
      <c r="A482" s="5" t="s">
        <v>8</v>
      </c>
    </row>
    <row r="483" spans="1:8" x14ac:dyDescent="0.25">
      <c r="A483" t="str" cm="1">
        <f t="array" aca="1" ref="A483" ca="1">"aK_WS_1_" &amp; INDIRECT("F" &amp; ROW(C483)-6) &amp; "_p"</f>
        <v>aK_WS_1_4_2_p</v>
      </c>
      <c r="B483">
        <v>0</v>
      </c>
      <c r="C483" t="s">
        <v>4</v>
      </c>
    </row>
    <row r="484" spans="1:8" x14ac:dyDescent="0.25">
      <c r="A484" t="str" cm="1">
        <f t="array" aca="1" ref="A484" ca="1">"aK_WS_2_" &amp; INDIRECT("F" &amp; ROW(C484)-7) &amp; "_p"</f>
        <v>aK_WS_2_4_2_p</v>
      </c>
      <c r="B484">
        <v>0</v>
      </c>
      <c r="C484" t="s">
        <v>5</v>
      </c>
    </row>
    <row r="485" spans="1:8" x14ac:dyDescent="0.25">
      <c r="A485" t="str" cm="1">
        <f t="array" aca="1" ref="A485" ca="1">"aK_WS_3_" &amp; INDIRECT("F" &amp; ROW(C485)-8) &amp; "_p"</f>
        <v>aK_WS_3_4_2_p</v>
      </c>
      <c r="B485">
        <v>2</v>
      </c>
      <c r="C485" t="s">
        <v>6</v>
      </c>
    </row>
    <row r="486" spans="1:8" x14ac:dyDescent="0.25">
      <c r="A486" s="5" t="s">
        <v>7</v>
      </c>
      <c r="G486" s="5"/>
      <c r="H486" s="5"/>
    </row>
    <row r="487" spans="1:8" x14ac:dyDescent="0.25">
      <c r="A487" t="str" cm="1">
        <f t="array" aca="1" ref="A487" ca="1">"aK_PREC_1_" &amp; INDIRECT("F" &amp; ROW(C487) - 10) &amp; "_p"</f>
        <v>aK_PREC_1_4_2_p</v>
      </c>
      <c r="B487">
        <v>0</v>
      </c>
      <c r="C487" t="s">
        <v>4</v>
      </c>
      <c r="F487" s="5"/>
    </row>
    <row r="488" spans="1:8" x14ac:dyDescent="0.25">
      <c r="A488" t="str" cm="1">
        <f t="array" aca="1" ref="A488" ca="1">"aK_PREC_2_" &amp; INDIRECT("F" &amp; ROW(C488) - 11) &amp; "_p"</f>
        <v>aK_PREC_2_4_2_p</v>
      </c>
      <c r="B488">
        <v>0</v>
      </c>
      <c r="C488" t="s">
        <v>5</v>
      </c>
    </row>
    <row r="489" spans="1:8" x14ac:dyDescent="0.25">
      <c r="A489" t="str" cm="1">
        <f t="array" aca="1" ref="A489" ca="1">"aK_PREC_3_" &amp; INDIRECT("F" &amp; ROW(C489) - 12) &amp; "_p"</f>
        <v>aK_PREC_3_4_2_p</v>
      </c>
      <c r="B489">
        <v>2</v>
      </c>
      <c r="C489" t="s">
        <v>6</v>
      </c>
    </row>
    <row r="490" spans="1:8" x14ac:dyDescent="0.25">
      <c r="A490" s="5" t="s">
        <v>9</v>
      </c>
      <c r="G490" s="5"/>
      <c r="H490" s="5"/>
    </row>
    <row r="491" spans="1:8" x14ac:dyDescent="0.25">
      <c r="A491" t="str" cm="1">
        <f t="array" aca="1" ref="A491" ca="1">"aK_SL_1_" &amp; INDIRECT("F" &amp; ROW(C491) - 14) &amp; "_p"</f>
        <v>aK_SL_1_4_2_p</v>
      </c>
      <c r="B491">
        <v>0</v>
      </c>
      <c r="C491" t="s">
        <v>4</v>
      </c>
      <c r="F491" s="5"/>
    </row>
    <row r="492" spans="1:8" x14ac:dyDescent="0.25">
      <c r="A492" t="str" cm="1">
        <f t="array" aca="1" ref="A492" ca="1">"aK_SL_2_" &amp; INDIRECT("F" &amp; ROW(C492) - 15) &amp; "_p"</f>
        <v>aK_SL_2_4_2_p</v>
      </c>
      <c r="B492">
        <v>0</v>
      </c>
      <c r="C492" t="s">
        <v>5</v>
      </c>
    </row>
    <row r="493" spans="1:8" x14ac:dyDescent="0.25">
      <c r="A493" t="str" cm="1">
        <f t="array" aca="1" ref="A493" ca="1">"aK_SL_3_" &amp; INDIRECT("F" &amp; ROW(C493) - 16) &amp; "_p"</f>
        <v>aK_SL_3_4_2_p</v>
      </c>
      <c r="B493">
        <v>2</v>
      </c>
      <c r="C493" t="s">
        <v>6</v>
      </c>
    </row>
    <row r="494" spans="1:8" x14ac:dyDescent="0.25">
      <c r="A494" s="5" t="s">
        <v>95</v>
      </c>
    </row>
    <row r="495" spans="1:8" x14ac:dyDescent="0.25">
      <c r="A495" t="str" cm="1">
        <f t="array" aca="1" ref="A495" ca="1">"aK_DRO_1_" &amp; INDIRECT("F" &amp; ROW(C495) - 18) &amp; "_p"</f>
        <v>aK_DRO_1_4_2_p</v>
      </c>
      <c r="B495">
        <v>0</v>
      </c>
      <c r="C495" t="s">
        <v>4</v>
      </c>
    </row>
    <row r="496" spans="1:8" x14ac:dyDescent="0.25">
      <c r="A496" t="str" cm="1">
        <f t="array" aca="1" ref="A496" ca="1">"aK_DRO_2_" &amp; INDIRECT("F" &amp; ROW(C496) - 19) &amp; "_p"</f>
        <v>aK_DRO_2_4_2_p</v>
      </c>
      <c r="B496">
        <v>0</v>
      </c>
      <c r="C496" t="s">
        <v>5</v>
      </c>
    </row>
    <row r="497" spans="1:8" x14ac:dyDescent="0.25">
      <c r="A497" t="str" cm="1">
        <f t="array" aca="1" ref="A497" ca="1">"aK_DRO_3_" &amp; INDIRECT("F" &amp; ROW(C497) - 20) &amp; "_p"</f>
        <v>aK_DRO_3_4_2_p</v>
      </c>
      <c r="B497">
        <v>2</v>
      </c>
      <c r="C497" t="s">
        <v>6</v>
      </c>
    </row>
    <row r="498" spans="1:8" x14ac:dyDescent="0.25">
      <c r="A498" s="5" t="s">
        <v>96</v>
      </c>
    </row>
    <row r="499" spans="1:8" x14ac:dyDescent="0.25">
      <c r="A499" t="str" cm="1">
        <f t="array" aca="1" ref="A499" ca="1">"aK_CYC_1_" &amp; INDIRECT("F" &amp; ROW(C499) - 22) &amp; "_p"</f>
        <v>aK_CYC_1_4_2_p</v>
      </c>
      <c r="B499">
        <v>0.1</v>
      </c>
      <c r="C499" t="s">
        <v>4</v>
      </c>
    </row>
    <row r="500" spans="1:8" x14ac:dyDescent="0.25">
      <c r="A500" t="str" cm="1">
        <f t="array" aca="1" ref="A500" ca="1">"aK_CYC_2_" &amp; INDIRECT("F" &amp; ROW(C500) - 23) &amp; "_p"</f>
        <v>aK_CYC_2_4_2_p</v>
      </c>
      <c r="B500">
        <v>0</v>
      </c>
      <c r="C500" t="s">
        <v>5</v>
      </c>
    </row>
    <row r="501" spans="1:8" x14ac:dyDescent="0.25">
      <c r="A501" t="str" cm="1">
        <f t="array" aca="1" ref="A501" ca="1">"aK_CYC_3_" &amp; INDIRECT("F" &amp; ROW(C501) - 24) &amp; "_p"</f>
        <v>aK_CYC_3_4_2_p</v>
      </c>
      <c r="B501">
        <v>2</v>
      </c>
      <c r="C501" t="s">
        <v>6</v>
      </c>
    </row>
    <row r="502" spans="1:8" x14ac:dyDescent="0.25">
      <c r="A502" s="31" t="s">
        <v>123</v>
      </c>
      <c r="B502" s="31"/>
      <c r="C502" s="31"/>
      <c r="D502" s="25">
        <v>4</v>
      </c>
      <c r="E502" s="25">
        <v>3</v>
      </c>
      <c r="F502" s="25" t="s">
        <v>190</v>
      </c>
    </row>
    <row r="503" spans="1:8" x14ac:dyDescent="0.25">
      <c r="A503" s="5" t="s">
        <v>3</v>
      </c>
    </row>
    <row r="504" spans="1:8" x14ac:dyDescent="0.25">
      <c r="A504" t="str" cm="1">
        <f t="array" aca="1" ref="A504" ca="1">"aK_T_1_" &amp; INDIRECT("F" &amp; ROW(C504)-2) &amp; "_p"</f>
        <v>aK_T_1_4_3_p</v>
      </c>
      <c r="B504">
        <v>0</v>
      </c>
      <c r="C504" t="s">
        <v>4</v>
      </c>
    </row>
    <row r="505" spans="1:8" x14ac:dyDescent="0.25">
      <c r="A505" t="str" cm="1">
        <f t="array" aca="1" ref="A505" ca="1">"aK_T_2_" &amp; INDIRECT("F" &amp; ROW(C505)-3) &amp; "_p"</f>
        <v>aK_T_2_4_3_p</v>
      </c>
      <c r="B505">
        <v>0</v>
      </c>
      <c r="C505" t="s">
        <v>5</v>
      </c>
    </row>
    <row r="506" spans="1:8" x14ac:dyDescent="0.25">
      <c r="A506" t="str" cm="1">
        <f t="array" aca="1" ref="A506" ca="1">"aK_T_3_" &amp; INDIRECT("F" &amp; ROW(C506)-4) &amp; "_p"</f>
        <v>aK_T_3_4_3_p</v>
      </c>
      <c r="B506">
        <v>2</v>
      </c>
      <c r="C506" t="s">
        <v>6</v>
      </c>
    </row>
    <row r="507" spans="1:8" x14ac:dyDescent="0.25">
      <c r="A507" s="5" t="s">
        <v>8</v>
      </c>
    </row>
    <row r="508" spans="1:8" x14ac:dyDescent="0.25">
      <c r="A508" t="str" cm="1">
        <f t="array" aca="1" ref="A508" ca="1">"aK_WS_1_" &amp; INDIRECT("F" &amp; ROW(C508)-6) &amp; "_p"</f>
        <v>aK_WS_1_4_3_p</v>
      </c>
      <c r="B508">
        <v>0</v>
      </c>
      <c r="C508" t="s">
        <v>4</v>
      </c>
    </row>
    <row r="509" spans="1:8" x14ac:dyDescent="0.25">
      <c r="A509" t="str" cm="1">
        <f t="array" aca="1" ref="A509" ca="1">"aK_WS_2_" &amp; INDIRECT("F" &amp; ROW(C509)-7) &amp; "_p"</f>
        <v>aK_WS_2_4_3_p</v>
      </c>
      <c r="B509">
        <v>0</v>
      </c>
      <c r="C509" t="s">
        <v>5</v>
      </c>
    </row>
    <row r="510" spans="1:8" x14ac:dyDescent="0.25">
      <c r="A510" t="str" cm="1">
        <f t="array" aca="1" ref="A510" ca="1">"aK_WS_3_" &amp; INDIRECT("F" &amp; ROW(C510)-8) &amp; "_p"</f>
        <v>aK_WS_3_4_3_p</v>
      </c>
      <c r="B510">
        <v>2</v>
      </c>
      <c r="C510" t="s">
        <v>6</v>
      </c>
    </row>
    <row r="511" spans="1:8" x14ac:dyDescent="0.25">
      <c r="A511" s="5" t="s">
        <v>7</v>
      </c>
      <c r="G511" s="5"/>
      <c r="H511" s="5"/>
    </row>
    <row r="512" spans="1:8" x14ac:dyDescent="0.25">
      <c r="A512" t="str" cm="1">
        <f t="array" aca="1" ref="A512" ca="1">"aK_PREC_1_" &amp; INDIRECT("F" &amp; ROW(C512) - 10) &amp; "_p"</f>
        <v>aK_PREC_1_4_3_p</v>
      </c>
      <c r="B512">
        <v>0</v>
      </c>
      <c r="C512" t="s">
        <v>4</v>
      </c>
      <c r="F512" s="5"/>
    </row>
    <row r="513" spans="1:8" x14ac:dyDescent="0.25">
      <c r="A513" t="str" cm="1">
        <f t="array" aca="1" ref="A513" ca="1">"aK_PREC_2_" &amp; INDIRECT("F" &amp; ROW(C513) - 11) &amp; "_p"</f>
        <v>aK_PREC_2_4_3_p</v>
      </c>
      <c r="B513">
        <v>0</v>
      </c>
      <c r="C513" t="s">
        <v>5</v>
      </c>
    </row>
    <row r="514" spans="1:8" x14ac:dyDescent="0.25">
      <c r="A514" t="str" cm="1">
        <f t="array" aca="1" ref="A514" ca="1">"aK_PREC_3_" &amp; INDIRECT("F" &amp; ROW(C514) - 12) &amp; "_p"</f>
        <v>aK_PREC_3_4_3_p</v>
      </c>
      <c r="B514">
        <v>2</v>
      </c>
      <c r="C514" t="s">
        <v>6</v>
      </c>
    </row>
    <row r="515" spans="1:8" x14ac:dyDescent="0.25">
      <c r="A515" s="5" t="s">
        <v>9</v>
      </c>
      <c r="G515" s="5"/>
      <c r="H515" s="5"/>
    </row>
    <row r="516" spans="1:8" x14ac:dyDescent="0.25">
      <c r="A516" t="str" cm="1">
        <f t="array" aca="1" ref="A516" ca="1">"aK_SL_1_" &amp; INDIRECT("F" &amp; ROW(C516) - 14) &amp; "_p"</f>
        <v>aK_SL_1_4_3_p</v>
      </c>
      <c r="B516">
        <v>0</v>
      </c>
      <c r="C516" t="s">
        <v>4</v>
      </c>
      <c r="F516" s="5"/>
    </row>
    <row r="517" spans="1:8" x14ac:dyDescent="0.25">
      <c r="A517" t="str" cm="1">
        <f t="array" aca="1" ref="A517" ca="1">"aK_SL_2_" &amp; INDIRECT("F" &amp; ROW(C517) - 15) &amp; "_p"</f>
        <v>aK_SL_2_4_3_p</v>
      </c>
      <c r="B517">
        <v>0</v>
      </c>
      <c r="C517" t="s">
        <v>5</v>
      </c>
    </row>
    <row r="518" spans="1:8" x14ac:dyDescent="0.25">
      <c r="A518" t="str" cm="1">
        <f t="array" aca="1" ref="A518" ca="1">"aK_SL_3_" &amp; INDIRECT("F" &amp; ROW(C518) - 16) &amp; "_p"</f>
        <v>aK_SL_3_4_3_p</v>
      </c>
      <c r="B518">
        <v>2</v>
      </c>
      <c r="C518" t="s">
        <v>6</v>
      </c>
    </row>
    <row r="519" spans="1:8" x14ac:dyDescent="0.25">
      <c r="A519" s="5" t="s">
        <v>95</v>
      </c>
    </row>
    <row r="520" spans="1:8" x14ac:dyDescent="0.25">
      <c r="A520" t="str" cm="1">
        <f t="array" aca="1" ref="A520" ca="1">"aK_DRO_1_" &amp; INDIRECT("F" &amp; ROW(C520) - 18) &amp; "_p"</f>
        <v>aK_DRO_1_4_3_p</v>
      </c>
      <c r="B520">
        <v>0</v>
      </c>
      <c r="C520" t="s">
        <v>4</v>
      </c>
    </row>
    <row r="521" spans="1:8" x14ac:dyDescent="0.25">
      <c r="A521" t="str" cm="1">
        <f t="array" aca="1" ref="A521" ca="1">"aK_DRO_2_" &amp; INDIRECT("F" &amp; ROW(C521) - 19) &amp; "_p"</f>
        <v>aK_DRO_2_4_3_p</v>
      </c>
      <c r="B521">
        <v>0</v>
      </c>
      <c r="C521" t="s">
        <v>5</v>
      </c>
    </row>
    <row r="522" spans="1:8" x14ac:dyDescent="0.25">
      <c r="A522" t="str" cm="1">
        <f t="array" aca="1" ref="A522" ca="1">"aK_DRO_3_" &amp; INDIRECT("F" &amp; ROW(C522) - 20) &amp; "_p"</f>
        <v>aK_DRO_3_4_3_p</v>
      </c>
      <c r="B522">
        <v>2</v>
      </c>
      <c r="C522" t="s">
        <v>6</v>
      </c>
    </row>
    <row r="523" spans="1:8" x14ac:dyDescent="0.25">
      <c r="A523" s="5" t="s">
        <v>96</v>
      </c>
    </row>
    <row r="524" spans="1:8" x14ac:dyDescent="0.25">
      <c r="A524" t="str" cm="1">
        <f t="array" aca="1" ref="A524" ca="1">"aK_CYC_1_" &amp; INDIRECT("F" &amp; ROW(C524) - 22) &amp; "_p"</f>
        <v>aK_CYC_1_4_3_p</v>
      </c>
      <c r="B524">
        <v>0.1</v>
      </c>
      <c r="C524" t="s">
        <v>4</v>
      </c>
    </row>
    <row r="525" spans="1:8" x14ac:dyDescent="0.25">
      <c r="A525" t="str" cm="1">
        <f t="array" aca="1" ref="A525" ca="1">"aK_CYC_2_" &amp; INDIRECT("F" &amp; ROW(C525) - 23) &amp; "_p"</f>
        <v>aK_CYC_2_4_3_p</v>
      </c>
      <c r="B525">
        <v>0</v>
      </c>
      <c r="C525" t="s">
        <v>5</v>
      </c>
    </row>
    <row r="526" spans="1:8" x14ac:dyDescent="0.25">
      <c r="A526" t="str" cm="1">
        <f t="array" aca="1" ref="A526" ca="1">"aK_CYC_3_" &amp; INDIRECT("F" &amp; ROW(C526) - 24) &amp; "_p"</f>
        <v>aK_CYC_3_4_3_p</v>
      </c>
      <c r="B526">
        <v>2</v>
      </c>
      <c r="C526" t="s">
        <v>6</v>
      </c>
    </row>
    <row r="527" spans="1:8" x14ac:dyDescent="0.25">
      <c r="A527" s="31" t="s">
        <v>124</v>
      </c>
      <c r="B527" s="31"/>
      <c r="C527" s="31"/>
      <c r="D527" s="25">
        <v>4</v>
      </c>
      <c r="E527" s="25">
        <v>4</v>
      </c>
      <c r="F527" s="25" t="s">
        <v>189</v>
      </c>
    </row>
    <row r="528" spans="1:8" x14ac:dyDescent="0.25">
      <c r="A528" s="5" t="s">
        <v>3</v>
      </c>
    </row>
    <row r="529" spans="1:8" x14ac:dyDescent="0.25">
      <c r="A529" t="str" cm="1">
        <f t="array" aca="1" ref="A529" ca="1">"aK_T_1_" &amp; INDIRECT("F" &amp; ROW(C529)-2) &amp; "_p"</f>
        <v>aK_T_1_4_4_p</v>
      </c>
      <c r="B529">
        <v>0</v>
      </c>
      <c r="C529" t="s">
        <v>4</v>
      </c>
    </row>
    <row r="530" spans="1:8" x14ac:dyDescent="0.25">
      <c r="A530" t="str" cm="1">
        <f t="array" aca="1" ref="A530" ca="1">"aK_T_2_" &amp; INDIRECT("F" &amp; ROW(C530)-3) &amp; "_p"</f>
        <v>aK_T_2_4_4_p</v>
      </c>
      <c r="B530">
        <v>0</v>
      </c>
      <c r="C530" t="s">
        <v>5</v>
      </c>
    </row>
    <row r="531" spans="1:8" x14ac:dyDescent="0.25">
      <c r="A531" t="str" cm="1">
        <f t="array" aca="1" ref="A531" ca="1">"aK_T_3_" &amp; INDIRECT("F" &amp; ROW(C531)-4) &amp; "_p"</f>
        <v>aK_T_3_4_4_p</v>
      </c>
      <c r="B531">
        <v>2</v>
      </c>
      <c r="C531" t="s">
        <v>6</v>
      </c>
    </row>
    <row r="532" spans="1:8" x14ac:dyDescent="0.25">
      <c r="A532" s="5" t="s">
        <v>8</v>
      </c>
    </row>
    <row r="533" spans="1:8" x14ac:dyDescent="0.25">
      <c r="A533" t="str" cm="1">
        <f t="array" aca="1" ref="A533" ca="1">"aK_WS_1_" &amp; INDIRECT("F" &amp; ROW(C533)-6) &amp; "_p"</f>
        <v>aK_WS_1_4_4_p</v>
      </c>
      <c r="B533">
        <v>0</v>
      </c>
      <c r="C533" t="s">
        <v>4</v>
      </c>
    </row>
    <row r="534" spans="1:8" x14ac:dyDescent="0.25">
      <c r="A534" t="str" cm="1">
        <f t="array" aca="1" ref="A534" ca="1">"aK_WS_2_" &amp; INDIRECT("F" &amp; ROW(C534)-7) &amp; "_p"</f>
        <v>aK_WS_2_4_4_p</v>
      </c>
      <c r="B534">
        <v>0</v>
      </c>
      <c r="C534" t="s">
        <v>5</v>
      </c>
    </row>
    <row r="535" spans="1:8" x14ac:dyDescent="0.25">
      <c r="A535" t="str" cm="1">
        <f t="array" aca="1" ref="A535" ca="1">"aK_WS_3_" &amp; INDIRECT("F" &amp; ROW(C535)-8) &amp; "_p"</f>
        <v>aK_WS_3_4_4_p</v>
      </c>
      <c r="B535">
        <v>2</v>
      </c>
      <c r="C535" t="s">
        <v>6</v>
      </c>
    </row>
    <row r="536" spans="1:8" x14ac:dyDescent="0.25">
      <c r="A536" s="5" t="s">
        <v>7</v>
      </c>
      <c r="G536" s="5"/>
      <c r="H536" s="5"/>
    </row>
    <row r="537" spans="1:8" x14ac:dyDescent="0.25">
      <c r="A537" t="str" cm="1">
        <f t="array" aca="1" ref="A537" ca="1">"aK_PREC_1_" &amp; INDIRECT("F" &amp; ROW(C537) - 10) &amp; "_p"</f>
        <v>aK_PREC_1_4_4_p</v>
      </c>
      <c r="B537">
        <v>0</v>
      </c>
      <c r="C537" t="s">
        <v>4</v>
      </c>
      <c r="F537" s="5"/>
    </row>
    <row r="538" spans="1:8" x14ac:dyDescent="0.25">
      <c r="A538" t="str" cm="1">
        <f t="array" aca="1" ref="A538" ca="1">"aK_PREC_2_" &amp; INDIRECT("F" &amp; ROW(C538) - 11) &amp; "_p"</f>
        <v>aK_PREC_2_4_4_p</v>
      </c>
      <c r="B538">
        <v>0</v>
      </c>
      <c r="C538" t="s">
        <v>5</v>
      </c>
    </row>
    <row r="539" spans="1:8" x14ac:dyDescent="0.25">
      <c r="A539" t="str" cm="1">
        <f t="array" aca="1" ref="A539" ca="1">"aK_PREC_3_" &amp; INDIRECT("F" &amp; ROW(C539) - 12) &amp; "_p"</f>
        <v>aK_PREC_3_4_4_p</v>
      </c>
      <c r="B539">
        <v>2</v>
      </c>
      <c r="C539" t="s">
        <v>6</v>
      </c>
    </row>
    <row r="540" spans="1:8" x14ac:dyDescent="0.25">
      <c r="A540" s="5" t="s">
        <v>9</v>
      </c>
      <c r="G540" s="5"/>
      <c r="H540" s="5"/>
    </row>
    <row r="541" spans="1:8" x14ac:dyDescent="0.25">
      <c r="A541" t="str" cm="1">
        <f t="array" aca="1" ref="A541" ca="1">"aK_SL_1_" &amp; INDIRECT("F" &amp; ROW(C541) - 14) &amp; "_p"</f>
        <v>aK_SL_1_4_4_p</v>
      </c>
      <c r="B541">
        <v>0</v>
      </c>
      <c r="C541" t="s">
        <v>4</v>
      </c>
      <c r="F541" s="5"/>
    </row>
    <row r="542" spans="1:8" x14ac:dyDescent="0.25">
      <c r="A542" t="str" cm="1">
        <f t="array" aca="1" ref="A542" ca="1">"aK_SL_2_" &amp; INDIRECT("F" &amp; ROW(C542) - 15) &amp; "_p"</f>
        <v>aK_SL_2_4_4_p</v>
      </c>
      <c r="B542">
        <v>0</v>
      </c>
      <c r="C542" t="s">
        <v>5</v>
      </c>
    </row>
    <row r="543" spans="1:8" x14ac:dyDescent="0.25">
      <c r="A543" t="str" cm="1">
        <f t="array" aca="1" ref="A543" ca="1">"aK_SL_3_" &amp; INDIRECT("F" &amp; ROW(C543) - 16) &amp; "_p"</f>
        <v>aK_SL_3_4_4_p</v>
      </c>
      <c r="B543">
        <v>2</v>
      </c>
      <c r="C543" t="s">
        <v>6</v>
      </c>
    </row>
    <row r="544" spans="1:8" x14ac:dyDescent="0.25">
      <c r="A544" s="5" t="s">
        <v>95</v>
      </c>
    </row>
    <row r="545" spans="1:6" x14ac:dyDescent="0.25">
      <c r="A545" t="str" cm="1">
        <f t="array" aca="1" ref="A545" ca="1">"aK_DRO_1_" &amp; INDIRECT("F" &amp; ROW(C545) - 18) &amp; "_p"</f>
        <v>aK_DRO_1_4_4_p</v>
      </c>
      <c r="B545">
        <v>0</v>
      </c>
      <c r="C545" t="s">
        <v>4</v>
      </c>
    </row>
    <row r="546" spans="1:6" x14ac:dyDescent="0.25">
      <c r="A546" t="str" cm="1">
        <f t="array" aca="1" ref="A546" ca="1">"aK_DRO_2_" &amp; INDIRECT("F" &amp; ROW(C546) - 19) &amp; "_p"</f>
        <v>aK_DRO_2_4_4_p</v>
      </c>
      <c r="B546">
        <v>0</v>
      </c>
      <c r="C546" t="s">
        <v>5</v>
      </c>
    </row>
    <row r="547" spans="1:6" x14ac:dyDescent="0.25">
      <c r="A547" t="str" cm="1">
        <f t="array" aca="1" ref="A547" ca="1">"aK_DRO_3_" &amp; INDIRECT("F" &amp; ROW(C547) - 20) &amp; "_p"</f>
        <v>aK_DRO_3_4_4_p</v>
      </c>
      <c r="B547">
        <v>2</v>
      </c>
      <c r="C547" t="s">
        <v>6</v>
      </c>
    </row>
    <row r="548" spans="1:6" x14ac:dyDescent="0.25">
      <c r="A548" s="5" t="s">
        <v>96</v>
      </c>
    </row>
    <row r="549" spans="1:6" x14ac:dyDescent="0.25">
      <c r="A549" t="str" cm="1">
        <f t="array" aca="1" ref="A549" ca="1">"aK_CYC_1_" &amp; INDIRECT("F" &amp; ROW(C549) - 22) &amp; "_p"</f>
        <v>aK_CYC_1_4_4_p</v>
      </c>
      <c r="B549">
        <v>0.1</v>
      </c>
      <c r="C549" t="s">
        <v>4</v>
      </c>
    </row>
    <row r="550" spans="1:6" x14ac:dyDescent="0.25">
      <c r="A550" t="str" cm="1">
        <f t="array" aca="1" ref="A550" ca="1">"aK_CYC_2_" &amp; INDIRECT("F" &amp; ROW(C550) - 23) &amp; "_p"</f>
        <v>aK_CYC_2_4_4_p</v>
      </c>
      <c r="B550">
        <v>0</v>
      </c>
      <c r="C550" t="s">
        <v>5</v>
      </c>
    </row>
    <row r="551" spans="1:6" x14ac:dyDescent="0.25">
      <c r="A551" t="str" cm="1">
        <f t="array" aca="1" ref="A551" ca="1">"aK_CYC_3_" &amp; INDIRECT("F" &amp; ROW(C551) - 24) &amp; "_p"</f>
        <v>aK_CYC_3_4_4_p</v>
      </c>
      <c r="B551">
        <v>2</v>
      </c>
      <c r="C551" t="s">
        <v>6</v>
      </c>
    </row>
    <row r="552" spans="1:6" x14ac:dyDescent="0.25">
      <c r="A552" s="31" t="s">
        <v>125</v>
      </c>
      <c r="B552" s="31"/>
      <c r="C552" s="31"/>
      <c r="D552" s="25">
        <v>4</v>
      </c>
      <c r="E552" s="25">
        <v>5</v>
      </c>
      <c r="F552" s="25" t="s">
        <v>188</v>
      </c>
    </row>
    <row r="553" spans="1:6" x14ac:dyDescent="0.25">
      <c r="A553" s="5" t="s">
        <v>3</v>
      </c>
    </row>
    <row r="554" spans="1:6" x14ac:dyDescent="0.25">
      <c r="A554" t="str" cm="1">
        <f t="array" aca="1" ref="A554" ca="1">"aK_T_1_" &amp; INDIRECT("F" &amp; ROW(C554)-2) &amp; "_p"</f>
        <v>aK_T_1_4_5_p</v>
      </c>
      <c r="B554">
        <v>0</v>
      </c>
      <c r="C554" t="s">
        <v>4</v>
      </c>
    </row>
    <row r="555" spans="1:6" x14ac:dyDescent="0.25">
      <c r="A555" t="str" cm="1">
        <f t="array" aca="1" ref="A555" ca="1">"aK_T_2_" &amp; INDIRECT("F" &amp; ROW(C555)-3) &amp; "_p"</f>
        <v>aK_T_2_4_5_p</v>
      </c>
      <c r="B555">
        <v>0</v>
      </c>
      <c r="C555" t="s">
        <v>5</v>
      </c>
    </row>
    <row r="556" spans="1:6" x14ac:dyDescent="0.25">
      <c r="A556" t="str" cm="1">
        <f t="array" aca="1" ref="A556" ca="1">"aK_T_3_" &amp; INDIRECT("F" &amp; ROW(C556)-4) &amp; "_p"</f>
        <v>aK_T_3_4_5_p</v>
      </c>
      <c r="B556">
        <v>2</v>
      </c>
      <c r="C556" t="s">
        <v>6</v>
      </c>
    </row>
    <row r="557" spans="1:6" x14ac:dyDescent="0.25">
      <c r="A557" s="5" t="s">
        <v>8</v>
      </c>
    </row>
    <row r="558" spans="1:6" x14ac:dyDescent="0.25">
      <c r="A558" t="str" cm="1">
        <f t="array" aca="1" ref="A558" ca="1">"aK_WS_1_" &amp; INDIRECT("F" &amp; ROW(C558)-6) &amp; "_p"</f>
        <v>aK_WS_1_4_5_p</v>
      </c>
      <c r="B558">
        <v>0</v>
      </c>
      <c r="C558" t="s">
        <v>4</v>
      </c>
    </row>
    <row r="559" spans="1:6" x14ac:dyDescent="0.25">
      <c r="A559" t="str" cm="1">
        <f t="array" aca="1" ref="A559" ca="1">"aK_WS_2_" &amp; INDIRECT("F" &amp; ROW(C559)-7) &amp; "_p"</f>
        <v>aK_WS_2_4_5_p</v>
      </c>
      <c r="B559">
        <v>0</v>
      </c>
      <c r="C559" t="s">
        <v>5</v>
      </c>
    </row>
    <row r="560" spans="1:6" x14ac:dyDescent="0.25">
      <c r="A560" t="str" cm="1">
        <f t="array" aca="1" ref="A560" ca="1">"aK_WS_3_" &amp; INDIRECT("F" &amp; ROW(C560)-8) &amp; "_p"</f>
        <v>aK_WS_3_4_5_p</v>
      </c>
      <c r="B560">
        <v>2</v>
      </c>
      <c r="C560" t="s">
        <v>6</v>
      </c>
    </row>
    <row r="561" spans="1:8" x14ac:dyDescent="0.25">
      <c r="A561" s="5" t="s">
        <v>7</v>
      </c>
      <c r="G561" s="5"/>
      <c r="H561" s="5"/>
    </row>
    <row r="562" spans="1:8" x14ac:dyDescent="0.25">
      <c r="A562" t="str" cm="1">
        <f t="array" aca="1" ref="A562" ca="1">"aK_PREC_1_" &amp; INDIRECT("F" &amp; ROW(C562) - 10) &amp; "_p"</f>
        <v>aK_PREC_1_4_5_p</v>
      </c>
      <c r="B562">
        <v>0</v>
      </c>
      <c r="C562" t="s">
        <v>4</v>
      </c>
      <c r="F562" s="5"/>
    </row>
    <row r="563" spans="1:8" x14ac:dyDescent="0.25">
      <c r="A563" t="str" cm="1">
        <f t="array" aca="1" ref="A563" ca="1">"aK_PREC_2_" &amp; INDIRECT("F" &amp; ROW(C563) - 11) &amp; "_p"</f>
        <v>aK_PREC_2_4_5_p</v>
      </c>
      <c r="B563">
        <v>0</v>
      </c>
      <c r="C563" t="s">
        <v>5</v>
      </c>
    </row>
    <row r="564" spans="1:8" x14ac:dyDescent="0.25">
      <c r="A564" t="str" cm="1">
        <f t="array" aca="1" ref="A564" ca="1">"aK_PREC_3_" &amp; INDIRECT("F" &amp; ROW(C564) - 12) &amp; "_p"</f>
        <v>aK_PREC_3_4_5_p</v>
      </c>
      <c r="B564">
        <v>2</v>
      </c>
      <c r="C564" t="s">
        <v>6</v>
      </c>
    </row>
    <row r="565" spans="1:8" x14ac:dyDescent="0.25">
      <c r="A565" s="5" t="s">
        <v>9</v>
      </c>
      <c r="G565" s="5"/>
      <c r="H565" s="5"/>
    </row>
    <row r="566" spans="1:8" x14ac:dyDescent="0.25">
      <c r="A566" t="str" cm="1">
        <f t="array" aca="1" ref="A566" ca="1">"aK_SL_1_" &amp; INDIRECT("F" &amp; ROW(C566) - 14) &amp; "_p"</f>
        <v>aK_SL_1_4_5_p</v>
      </c>
      <c r="B566">
        <v>0</v>
      </c>
      <c r="C566" t="s">
        <v>4</v>
      </c>
      <c r="F566" s="5"/>
    </row>
    <row r="567" spans="1:8" x14ac:dyDescent="0.25">
      <c r="A567" t="str" cm="1">
        <f t="array" aca="1" ref="A567" ca="1">"aK_SL_2_" &amp; INDIRECT("F" &amp; ROW(C567) - 15) &amp; "_p"</f>
        <v>aK_SL_2_4_5_p</v>
      </c>
      <c r="B567">
        <v>0</v>
      </c>
      <c r="C567" t="s">
        <v>5</v>
      </c>
    </row>
    <row r="568" spans="1:8" x14ac:dyDescent="0.25">
      <c r="A568" t="str" cm="1">
        <f t="array" aca="1" ref="A568" ca="1">"aK_SL_3_" &amp; INDIRECT("F" &amp; ROW(C568) - 16) &amp; "_p"</f>
        <v>aK_SL_3_4_5_p</v>
      </c>
      <c r="B568">
        <v>2</v>
      </c>
      <c r="C568" t="s">
        <v>6</v>
      </c>
    </row>
    <row r="569" spans="1:8" x14ac:dyDescent="0.25">
      <c r="A569" s="5" t="s">
        <v>95</v>
      </c>
    </row>
    <row r="570" spans="1:8" x14ac:dyDescent="0.25">
      <c r="A570" t="str" cm="1">
        <f t="array" aca="1" ref="A570" ca="1">"aK_DRO_1_" &amp; INDIRECT("F" &amp; ROW(C570) - 18) &amp; "_p"</f>
        <v>aK_DRO_1_4_5_p</v>
      </c>
      <c r="B570">
        <v>0</v>
      </c>
      <c r="C570" t="s">
        <v>4</v>
      </c>
    </row>
    <row r="571" spans="1:8" x14ac:dyDescent="0.25">
      <c r="A571" t="str" cm="1">
        <f t="array" aca="1" ref="A571" ca="1">"aK_DRO_2_" &amp; INDIRECT("F" &amp; ROW(C571) - 19) &amp; "_p"</f>
        <v>aK_DRO_2_4_5_p</v>
      </c>
      <c r="B571">
        <v>0</v>
      </c>
      <c r="C571" t="s">
        <v>5</v>
      </c>
    </row>
    <row r="572" spans="1:8" x14ac:dyDescent="0.25">
      <c r="A572" t="str" cm="1">
        <f t="array" aca="1" ref="A572" ca="1">"aK_DRO_3_" &amp; INDIRECT("F" &amp; ROW(C572) - 20) &amp; "_p"</f>
        <v>aK_DRO_3_4_5_p</v>
      </c>
      <c r="B572">
        <v>2</v>
      </c>
      <c r="C572" t="s">
        <v>6</v>
      </c>
    </row>
    <row r="573" spans="1:8" x14ac:dyDescent="0.25">
      <c r="A573" s="5" t="s">
        <v>96</v>
      </c>
    </row>
    <row r="574" spans="1:8" x14ac:dyDescent="0.25">
      <c r="A574" t="str" cm="1">
        <f t="array" aca="1" ref="A574" ca="1">"aK_CYC_1_" &amp; INDIRECT("F" &amp; ROW(C574) - 22) &amp; "_p"</f>
        <v>aK_CYC_1_4_5_p</v>
      </c>
      <c r="B574">
        <v>0.1</v>
      </c>
      <c r="C574" t="s">
        <v>4</v>
      </c>
    </row>
    <row r="575" spans="1:8" x14ac:dyDescent="0.25">
      <c r="A575" t="str" cm="1">
        <f t="array" aca="1" ref="A575" ca="1">"aK_CYC_2_" &amp; INDIRECT("F" &amp; ROW(C575) - 23) &amp; "_p"</f>
        <v>aK_CYC_2_4_5_p</v>
      </c>
      <c r="B575">
        <v>0</v>
      </c>
      <c r="C575" t="s">
        <v>5</v>
      </c>
    </row>
    <row r="576" spans="1:8" x14ac:dyDescent="0.25">
      <c r="A576" t="str" cm="1">
        <f t="array" aca="1" ref="A576" ca="1">"aK_CYC_3_" &amp; INDIRECT("F" &amp; ROW(C576) - 24) &amp; "_p"</f>
        <v>aK_CYC_3_4_5_p</v>
      </c>
      <c r="B576">
        <v>2</v>
      </c>
      <c r="C576" t="s">
        <v>6</v>
      </c>
    </row>
    <row r="577" spans="1:8" x14ac:dyDescent="0.25">
      <c r="A577" s="31" t="s">
        <v>126</v>
      </c>
      <c r="B577" s="31"/>
      <c r="C577" s="31"/>
      <c r="D577" s="25">
        <v>4</v>
      </c>
      <c r="E577" s="25">
        <v>6</v>
      </c>
      <c r="F577" s="25" t="s">
        <v>187</v>
      </c>
    </row>
    <row r="578" spans="1:8" x14ac:dyDescent="0.25">
      <c r="A578" s="5" t="s">
        <v>3</v>
      </c>
    </row>
    <row r="579" spans="1:8" x14ac:dyDescent="0.25">
      <c r="A579" t="str" cm="1">
        <f t="array" aca="1" ref="A579" ca="1">"aK_T_1_" &amp; INDIRECT("F" &amp; ROW(C579)-2) &amp; "_p"</f>
        <v>aK_T_1_4_6_p</v>
      </c>
      <c r="B579">
        <v>0</v>
      </c>
      <c r="C579" t="s">
        <v>4</v>
      </c>
    </row>
    <row r="580" spans="1:8" x14ac:dyDescent="0.25">
      <c r="A580" t="str" cm="1">
        <f t="array" aca="1" ref="A580" ca="1">"aK_T_2_" &amp; INDIRECT("F" &amp; ROW(C580)-3) &amp; "_p"</f>
        <v>aK_T_2_4_6_p</v>
      </c>
      <c r="B580">
        <v>0</v>
      </c>
      <c r="C580" t="s">
        <v>5</v>
      </c>
    </row>
    <row r="581" spans="1:8" x14ac:dyDescent="0.25">
      <c r="A581" t="str" cm="1">
        <f t="array" aca="1" ref="A581" ca="1">"aK_T_3_" &amp; INDIRECT("F" &amp; ROW(C581)-4) &amp; "_p"</f>
        <v>aK_T_3_4_6_p</v>
      </c>
      <c r="B581">
        <v>2</v>
      </c>
      <c r="C581" t="s">
        <v>6</v>
      </c>
    </row>
    <row r="582" spans="1:8" x14ac:dyDescent="0.25">
      <c r="A582" s="5" t="s">
        <v>8</v>
      </c>
    </row>
    <row r="583" spans="1:8" x14ac:dyDescent="0.25">
      <c r="A583" t="str" cm="1">
        <f t="array" aca="1" ref="A583" ca="1">"aK_WS_1_" &amp; INDIRECT("F" &amp; ROW(C583)-6) &amp; "_p"</f>
        <v>aK_WS_1_4_6_p</v>
      </c>
      <c r="B583">
        <v>0</v>
      </c>
      <c r="C583" t="s">
        <v>4</v>
      </c>
    </row>
    <row r="584" spans="1:8" x14ac:dyDescent="0.25">
      <c r="A584" t="str" cm="1">
        <f t="array" aca="1" ref="A584" ca="1">"aK_WS_2_" &amp; INDIRECT("F" &amp; ROW(C584)-7) &amp; "_p"</f>
        <v>aK_WS_2_4_6_p</v>
      </c>
      <c r="B584">
        <v>0</v>
      </c>
      <c r="C584" t="s">
        <v>5</v>
      </c>
    </row>
    <row r="585" spans="1:8" x14ac:dyDescent="0.25">
      <c r="A585" t="str" cm="1">
        <f t="array" aca="1" ref="A585" ca="1">"aK_WS_3_" &amp; INDIRECT("F" &amp; ROW(C585)-8) &amp; "_p"</f>
        <v>aK_WS_3_4_6_p</v>
      </c>
      <c r="B585">
        <v>2</v>
      </c>
      <c r="C585" t="s">
        <v>6</v>
      </c>
    </row>
    <row r="586" spans="1:8" x14ac:dyDescent="0.25">
      <c r="A586" s="5" t="s">
        <v>7</v>
      </c>
      <c r="G586" s="5"/>
      <c r="H586" s="5"/>
    </row>
    <row r="587" spans="1:8" x14ac:dyDescent="0.25">
      <c r="A587" t="str" cm="1">
        <f t="array" aca="1" ref="A587" ca="1">"aK_PREC_1_" &amp; INDIRECT("F" &amp; ROW(C587) - 10) &amp; "_p"</f>
        <v>aK_PREC_1_4_6_p</v>
      </c>
      <c r="B587">
        <v>0</v>
      </c>
      <c r="C587" t="s">
        <v>4</v>
      </c>
      <c r="F587" s="5"/>
    </row>
    <row r="588" spans="1:8" x14ac:dyDescent="0.25">
      <c r="A588" t="str" cm="1">
        <f t="array" aca="1" ref="A588" ca="1">"aK_PREC_2_" &amp; INDIRECT("F" &amp; ROW(C588) - 11) &amp; "_p"</f>
        <v>aK_PREC_2_4_6_p</v>
      </c>
      <c r="B588">
        <v>0</v>
      </c>
      <c r="C588" t="s">
        <v>5</v>
      </c>
    </row>
    <row r="589" spans="1:8" x14ac:dyDescent="0.25">
      <c r="A589" t="str" cm="1">
        <f t="array" aca="1" ref="A589" ca="1">"aK_PREC_3_" &amp; INDIRECT("F" &amp; ROW(C589) - 12) &amp; "_p"</f>
        <v>aK_PREC_3_4_6_p</v>
      </c>
      <c r="B589">
        <v>2</v>
      </c>
      <c r="C589" t="s">
        <v>6</v>
      </c>
    </row>
    <row r="590" spans="1:8" x14ac:dyDescent="0.25">
      <c r="A590" s="5" t="s">
        <v>9</v>
      </c>
      <c r="G590" s="5"/>
      <c r="H590" s="5"/>
    </row>
    <row r="591" spans="1:8" x14ac:dyDescent="0.25">
      <c r="A591" t="str" cm="1">
        <f t="array" aca="1" ref="A591" ca="1">"aK_SL_1_" &amp; INDIRECT("F" &amp; ROW(C591) - 14) &amp; "_p"</f>
        <v>aK_SL_1_4_6_p</v>
      </c>
      <c r="B591">
        <v>0</v>
      </c>
      <c r="C591" t="s">
        <v>4</v>
      </c>
      <c r="F591" s="5"/>
    </row>
    <row r="592" spans="1:8" x14ac:dyDescent="0.25">
      <c r="A592" t="str" cm="1">
        <f t="array" aca="1" ref="A592" ca="1">"aK_SL_2_" &amp; INDIRECT("F" &amp; ROW(C592) - 15) &amp; "_p"</f>
        <v>aK_SL_2_4_6_p</v>
      </c>
      <c r="B592">
        <v>0</v>
      </c>
      <c r="C592" t="s">
        <v>5</v>
      </c>
    </row>
    <row r="593" spans="1:6" x14ac:dyDescent="0.25">
      <c r="A593" t="str" cm="1">
        <f t="array" aca="1" ref="A593" ca="1">"aK_SL_3_" &amp; INDIRECT("F" &amp; ROW(C593) - 16) &amp; "_p"</f>
        <v>aK_SL_3_4_6_p</v>
      </c>
      <c r="B593">
        <v>2</v>
      </c>
      <c r="C593" t="s">
        <v>6</v>
      </c>
    </row>
    <row r="594" spans="1:6" x14ac:dyDescent="0.25">
      <c r="A594" s="5" t="s">
        <v>95</v>
      </c>
    </row>
    <row r="595" spans="1:6" x14ac:dyDescent="0.25">
      <c r="A595" t="str" cm="1">
        <f t="array" aca="1" ref="A595" ca="1">"aK_DRO_1_" &amp; INDIRECT("F" &amp; ROW(C595) - 18) &amp; "_p"</f>
        <v>aK_DRO_1_4_6_p</v>
      </c>
      <c r="B595">
        <v>0</v>
      </c>
      <c r="C595" t="s">
        <v>4</v>
      </c>
    </row>
    <row r="596" spans="1:6" x14ac:dyDescent="0.25">
      <c r="A596" t="str" cm="1">
        <f t="array" aca="1" ref="A596" ca="1">"aK_DRO_2_" &amp; INDIRECT("F" &amp; ROW(C596) - 19) &amp; "_p"</f>
        <v>aK_DRO_2_4_6_p</v>
      </c>
      <c r="B596">
        <v>0</v>
      </c>
      <c r="C596" t="s">
        <v>5</v>
      </c>
    </row>
    <row r="597" spans="1:6" x14ac:dyDescent="0.25">
      <c r="A597" t="str" cm="1">
        <f t="array" aca="1" ref="A597" ca="1">"aK_DRO_3_" &amp; INDIRECT("F" &amp; ROW(C597) - 20) &amp; "_p"</f>
        <v>aK_DRO_3_4_6_p</v>
      </c>
      <c r="B597">
        <v>2</v>
      </c>
      <c r="C597" t="s">
        <v>6</v>
      </c>
    </row>
    <row r="598" spans="1:6" x14ac:dyDescent="0.25">
      <c r="A598" s="5" t="s">
        <v>96</v>
      </c>
    </row>
    <row r="599" spans="1:6" x14ac:dyDescent="0.25">
      <c r="A599" t="str" cm="1">
        <f t="array" aca="1" ref="A599" ca="1">"aK_CYC_1_" &amp; INDIRECT("F" &amp; ROW(C599) - 22) &amp; "_p"</f>
        <v>aK_CYC_1_4_6_p</v>
      </c>
      <c r="B599">
        <v>0.1</v>
      </c>
      <c r="C599" t="s">
        <v>4</v>
      </c>
    </row>
    <row r="600" spans="1:6" x14ac:dyDescent="0.25">
      <c r="A600" t="str" cm="1">
        <f t="array" aca="1" ref="A600" ca="1">"aK_CYC_2_" &amp; INDIRECT("F" &amp; ROW(C600) - 23) &amp; "_p"</f>
        <v>aK_CYC_2_4_6_p</v>
      </c>
      <c r="B600">
        <v>0</v>
      </c>
      <c r="C600" t="s">
        <v>5</v>
      </c>
    </row>
    <row r="601" spans="1:6" x14ac:dyDescent="0.25">
      <c r="A601" t="str" cm="1">
        <f t="array" aca="1" ref="A601" ca="1">"aK_CYC_3_" &amp; INDIRECT("F" &amp; ROW(C601) - 24) &amp; "_p"</f>
        <v>aK_CYC_3_4_6_p</v>
      </c>
      <c r="B601">
        <v>2</v>
      </c>
      <c r="C601" t="s">
        <v>6</v>
      </c>
    </row>
    <row r="602" spans="1:6" x14ac:dyDescent="0.25">
      <c r="A602" s="31" t="s">
        <v>127</v>
      </c>
      <c r="B602" s="31"/>
      <c r="C602" s="31"/>
      <c r="D602" s="25">
        <v>5</v>
      </c>
      <c r="E602" s="25">
        <v>1</v>
      </c>
      <c r="F602" s="25" t="s">
        <v>186</v>
      </c>
    </row>
    <row r="603" spans="1:6" x14ac:dyDescent="0.25">
      <c r="A603" s="5" t="s">
        <v>3</v>
      </c>
    </row>
    <row r="604" spans="1:6" x14ac:dyDescent="0.25">
      <c r="A604" t="str" cm="1">
        <f t="array" aca="1" ref="A604" ca="1">"aK_T_1_" &amp; INDIRECT("F" &amp; ROW(C604)-2) &amp; "_p"</f>
        <v>aK_T_1_5_1_p</v>
      </c>
      <c r="B604">
        <v>0</v>
      </c>
      <c r="C604" t="s">
        <v>4</v>
      </c>
    </row>
    <row r="605" spans="1:6" x14ac:dyDescent="0.25">
      <c r="A605" t="str" cm="1">
        <f t="array" aca="1" ref="A605" ca="1">"aK_T_2_" &amp; INDIRECT("F" &amp; ROW(C605)-3) &amp; "_p"</f>
        <v>aK_T_2_5_1_p</v>
      </c>
      <c r="B605">
        <v>0</v>
      </c>
      <c r="C605" t="s">
        <v>5</v>
      </c>
    </row>
    <row r="606" spans="1:6" x14ac:dyDescent="0.25">
      <c r="A606" t="str" cm="1">
        <f t="array" aca="1" ref="A606" ca="1">"aK_T_3_" &amp; INDIRECT("F" &amp; ROW(C606)-4) &amp; "_p"</f>
        <v>aK_T_3_5_1_p</v>
      </c>
      <c r="B606">
        <v>2</v>
      </c>
      <c r="C606" t="s">
        <v>6</v>
      </c>
    </row>
    <row r="607" spans="1:6" x14ac:dyDescent="0.25">
      <c r="A607" s="5" t="s">
        <v>8</v>
      </c>
    </row>
    <row r="608" spans="1:6" x14ac:dyDescent="0.25">
      <c r="A608" t="str" cm="1">
        <f t="array" aca="1" ref="A608" ca="1">"aK_WS_1_" &amp; INDIRECT("F" &amp; ROW(C608)-6) &amp; "_p"</f>
        <v>aK_WS_1_5_1_p</v>
      </c>
      <c r="B608">
        <v>0</v>
      </c>
      <c r="C608" t="s">
        <v>4</v>
      </c>
    </row>
    <row r="609" spans="1:8" x14ac:dyDescent="0.25">
      <c r="A609" t="str" cm="1">
        <f t="array" aca="1" ref="A609" ca="1">"aK_WS_2_" &amp; INDIRECT("F" &amp; ROW(C609)-7) &amp; "_p"</f>
        <v>aK_WS_2_5_1_p</v>
      </c>
      <c r="B609">
        <v>0</v>
      </c>
      <c r="C609" t="s">
        <v>5</v>
      </c>
    </row>
    <row r="610" spans="1:8" x14ac:dyDescent="0.25">
      <c r="A610" t="str" cm="1">
        <f t="array" aca="1" ref="A610" ca="1">"aK_WS_3_" &amp; INDIRECT("F" &amp; ROW(C610)-8) &amp; "_p"</f>
        <v>aK_WS_3_5_1_p</v>
      </c>
      <c r="B610">
        <v>2</v>
      </c>
      <c r="C610" t="s">
        <v>6</v>
      </c>
    </row>
    <row r="611" spans="1:8" x14ac:dyDescent="0.25">
      <c r="A611" s="5" t="s">
        <v>7</v>
      </c>
      <c r="G611" s="5"/>
      <c r="H611" s="5"/>
    </row>
    <row r="612" spans="1:8" x14ac:dyDescent="0.25">
      <c r="A612" t="str" cm="1">
        <f t="array" aca="1" ref="A612" ca="1">"aK_PREC_1_" &amp; INDIRECT("F" &amp; ROW(C612) - 10) &amp; "_p"</f>
        <v>aK_PREC_1_5_1_p</v>
      </c>
      <c r="B612">
        <v>0</v>
      </c>
      <c r="C612" t="s">
        <v>4</v>
      </c>
      <c r="F612" s="5"/>
    </row>
    <row r="613" spans="1:8" x14ac:dyDescent="0.25">
      <c r="A613" t="str" cm="1">
        <f t="array" aca="1" ref="A613" ca="1">"aK_PREC_2_" &amp; INDIRECT("F" &amp; ROW(C613) - 11) &amp; "_p"</f>
        <v>aK_PREC_2_5_1_p</v>
      </c>
      <c r="B613">
        <v>0</v>
      </c>
      <c r="C613" t="s">
        <v>5</v>
      </c>
    </row>
    <row r="614" spans="1:8" x14ac:dyDescent="0.25">
      <c r="A614" t="str" cm="1">
        <f t="array" aca="1" ref="A614" ca="1">"aK_PREC_3_" &amp; INDIRECT("F" &amp; ROW(C614) - 12) &amp; "_p"</f>
        <v>aK_PREC_3_5_1_p</v>
      </c>
      <c r="B614">
        <v>2</v>
      </c>
      <c r="C614" t="s">
        <v>6</v>
      </c>
    </row>
    <row r="615" spans="1:8" x14ac:dyDescent="0.25">
      <c r="A615" s="5" t="s">
        <v>9</v>
      </c>
      <c r="G615" s="5"/>
      <c r="H615" s="5"/>
    </row>
    <row r="616" spans="1:8" x14ac:dyDescent="0.25">
      <c r="A616" t="str" cm="1">
        <f t="array" aca="1" ref="A616" ca="1">"aK_SL_1_" &amp; INDIRECT("F" &amp; ROW(C616) - 14) &amp; "_p"</f>
        <v>aK_SL_1_5_1_p</v>
      </c>
      <c r="B616">
        <v>0</v>
      </c>
      <c r="C616" t="s">
        <v>4</v>
      </c>
      <c r="F616" s="5"/>
    </row>
    <row r="617" spans="1:8" x14ac:dyDescent="0.25">
      <c r="A617" t="str" cm="1">
        <f t="array" aca="1" ref="A617" ca="1">"aK_SL_2_" &amp; INDIRECT("F" &amp; ROW(C617) - 15) &amp; "_p"</f>
        <v>aK_SL_2_5_1_p</v>
      </c>
      <c r="B617">
        <v>0</v>
      </c>
      <c r="C617" t="s">
        <v>5</v>
      </c>
    </row>
    <row r="618" spans="1:8" x14ac:dyDescent="0.25">
      <c r="A618" t="str" cm="1">
        <f t="array" aca="1" ref="A618" ca="1">"aK_SL_3_" &amp; INDIRECT("F" &amp; ROW(C618) - 16) &amp; "_p"</f>
        <v>aK_SL_3_5_1_p</v>
      </c>
      <c r="B618">
        <v>2</v>
      </c>
      <c r="C618" t="s">
        <v>6</v>
      </c>
    </row>
    <row r="619" spans="1:8" x14ac:dyDescent="0.25">
      <c r="A619" s="5" t="s">
        <v>95</v>
      </c>
    </row>
    <row r="620" spans="1:8" x14ac:dyDescent="0.25">
      <c r="A620" t="str" cm="1">
        <f t="array" aca="1" ref="A620" ca="1">"aK_DRO_1_" &amp; INDIRECT("F" &amp; ROW(C620) - 18) &amp; "_p"</f>
        <v>aK_DRO_1_5_1_p</v>
      </c>
      <c r="B620">
        <v>0</v>
      </c>
      <c r="C620" t="s">
        <v>4</v>
      </c>
    </row>
    <row r="621" spans="1:8" x14ac:dyDescent="0.25">
      <c r="A621" t="str" cm="1">
        <f t="array" aca="1" ref="A621" ca="1">"aK_DRO_2_" &amp; INDIRECT("F" &amp; ROW(C621) - 19) &amp; "_p"</f>
        <v>aK_DRO_2_5_1_p</v>
      </c>
      <c r="B621">
        <v>0</v>
      </c>
      <c r="C621" t="s">
        <v>5</v>
      </c>
    </row>
    <row r="622" spans="1:8" x14ac:dyDescent="0.25">
      <c r="A622" t="str" cm="1">
        <f t="array" aca="1" ref="A622" ca="1">"aK_DRO_3_" &amp; INDIRECT("F" &amp; ROW(C622) - 20) &amp; "_p"</f>
        <v>aK_DRO_3_5_1_p</v>
      </c>
      <c r="B622">
        <v>2</v>
      </c>
      <c r="C622" t="s">
        <v>6</v>
      </c>
    </row>
    <row r="623" spans="1:8" x14ac:dyDescent="0.25">
      <c r="A623" s="5" t="s">
        <v>96</v>
      </c>
    </row>
    <row r="624" spans="1:8" x14ac:dyDescent="0.25">
      <c r="A624" t="str" cm="1">
        <f t="array" aca="1" ref="A624" ca="1">"aK_CYC_1_" &amp; INDIRECT("F" &amp; ROW(C624) - 22) &amp; "_p"</f>
        <v>aK_CYC_1_5_1_p</v>
      </c>
      <c r="B624">
        <v>0.1</v>
      </c>
      <c r="C624" t="s">
        <v>4</v>
      </c>
    </row>
    <row r="625" spans="1:8" x14ac:dyDescent="0.25">
      <c r="A625" t="str" cm="1">
        <f t="array" aca="1" ref="A625" ca="1">"aK_CYC_2_" &amp; INDIRECT("F" &amp; ROW(C625) - 23) &amp; "_p"</f>
        <v>aK_CYC_2_5_1_p</v>
      </c>
      <c r="B625">
        <v>0</v>
      </c>
      <c r="C625" t="s">
        <v>5</v>
      </c>
    </row>
    <row r="626" spans="1:8" x14ac:dyDescent="0.25">
      <c r="A626" t="str" cm="1">
        <f t="array" aca="1" ref="A626" ca="1">"aK_CYC_3_" &amp; INDIRECT("F" &amp; ROW(C626) - 24) &amp; "_p"</f>
        <v>aK_CYC_3_5_1_p</v>
      </c>
      <c r="B626">
        <v>2</v>
      </c>
      <c r="C626" t="s">
        <v>6</v>
      </c>
    </row>
    <row r="627" spans="1:8" x14ac:dyDescent="0.25">
      <c r="A627" s="31" t="s">
        <v>128</v>
      </c>
      <c r="B627" s="31"/>
      <c r="C627" s="31"/>
      <c r="D627" s="25">
        <v>5</v>
      </c>
      <c r="E627" s="25">
        <v>2</v>
      </c>
      <c r="F627" s="25" t="s">
        <v>185</v>
      </c>
    </row>
    <row r="628" spans="1:8" x14ac:dyDescent="0.25">
      <c r="A628" s="5" t="s">
        <v>3</v>
      </c>
    </row>
    <row r="629" spans="1:8" x14ac:dyDescent="0.25">
      <c r="A629" t="str" cm="1">
        <f t="array" aca="1" ref="A629" ca="1">"aK_T_1_" &amp; INDIRECT("F" &amp; ROW(C629)-2) &amp; "_p"</f>
        <v>aK_T_1_5_2_p</v>
      </c>
      <c r="B629">
        <v>0</v>
      </c>
      <c r="C629" t="s">
        <v>4</v>
      </c>
    </row>
    <row r="630" spans="1:8" x14ac:dyDescent="0.25">
      <c r="A630" t="str" cm="1">
        <f t="array" aca="1" ref="A630" ca="1">"aK_T_2_" &amp; INDIRECT("F" &amp; ROW(C630)-3) &amp; "_p"</f>
        <v>aK_T_2_5_2_p</v>
      </c>
      <c r="B630">
        <v>0</v>
      </c>
      <c r="C630" t="s">
        <v>5</v>
      </c>
    </row>
    <row r="631" spans="1:8" x14ac:dyDescent="0.25">
      <c r="A631" t="str" cm="1">
        <f t="array" aca="1" ref="A631" ca="1">"aK_T_3_" &amp; INDIRECT("F" &amp; ROW(C631)-4) &amp; "_p"</f>
        <v>aK_T_3_5_2_p</v>
      </c>
      <c r="B631">
        <v>2</v>
      </c>
      <c r="C631" t="s">
        <v>6</v>
      </c>
    </row>
    <row r="632" spans="1:8" x14ac:dyDescent="0.25">
      <c r="A632" s="5" t="s">
        <v>8</v>
      </c>
    </row>
    <row r="633" spans="1:8" x14ac:dyDescent="0.25">
      <c r="A633" t="str" cm="1">
        <f t="array" aca="1" ref="A633" ca="1">"aK_WS_1_" &amp; INDIRECT("F" &amp; ROW(C633)-6) &amp; "_p"</f>
        <v>aK_WS_1_5_2_p</v>
      </c>
      <c r="B633">
        <v>0</v>
      </c>
      <c r="C633" t="s">
        <v>4</v>
      </c>
    </row>
    <row r="634" spans="1:8" x14ac:dyDescent="0.25">
      <c r="A634" t="str" cm="1">
        <f t="array" aca="1" ref="A634" ca="1">"aK_WS_2_" &amp; INDIRECT("F" &amp; ROW(C634)-7) &amp; "_p"</f>
        <v>aK_WS_2_5_2_p</v>
      </c>
      <c r="B634">
        <v>0</v>
      </c>
      <c r="C634" t="s">
        <v>5</v>
      </c>
    </row>
    <row r="635" spans="1:8" x14ac:dyDescent="0.25">
      <c r="A635" t="str" cm="1">
        <f t="array" aca="1" ref="A635" ca="1">"aK_WS_3_" &amp; INDIRECT("F" &amp; ROW(C635)-8) &amp; "_p"</f>
        <v>aK_WS_3_5_2_p</v>
      </c>
      <c r="B635">
        <v>2</v>
      </c>
      <c r="C635" t="s">
        <v>6</v>
      </c>
    </row>
    <row r="636" spans="1:8" x14ac:dyDescent="0.25">
      <c r="A636" s="5" t="s">
        <v>7</v>
      </c>
      <c r="G636" s="5"/>
      <c r="H636" s="5"/>
    </row>
    <row r="637" spans="1:8" x14ac:dyDescent="0.25">
      <c r="A637" t="str" cm="1">
        <f t="array" aca="1" ref="A637" ca="1">"aK_PREC_1_" &amp; INDIRECT("F" &amp; ROW(C637) - 10) &amp; "_p"</f>
        <v>aK_PREC_1_5_2_p</v>
      </c>
      <c r="B637">
        <v>0</v>
      </c>
      <c r="C637" t="s">
        <v>4</v>
      </c>
      <c r="F637" s="5"/>
    </row>
    <row r="638" spans="1:8" x14ac:dyDescent="0.25">
      <c r="A638" t="str" cm="1">
        <f t="array" aca="1" ref="A638" ca="1">"aK_PREC_2_" &amp; INDIRECT("F" &amp; ROW(C638) - 11) &amp; "_p"</f>
        <v>aK_PREC_2_5_2_p</v>
      </c>
      <c r="B638">
        <v>0</v>
      </c>
      <c r="C638" t="s">
        <v>5</v>
      </c>
    </row>
    <row r="639" spans="1:8" x14ac:dyDescent="0.25">
      <c r="A639" t="str" cm="1">
        <f t="array" aca="1" ref="A639" ca="1">"aK_PREC_3_" &amp; INDIRECT("F" &amp; ROW(C639) - 12) &amp; "_p"</f>
        <v>aK_PREC_3_5_2_p</v>
      </c>
      <c r="B639">
        <v>2</v>
      </c>
      <c r="C639" t="s">
        <v>6</v>
      </c>
    </row>
    <row r="640" spans="1:8" x14ac:dyDescent="0.25">
      <c r="A640" s="5" t="s">
        <v>9</v>
      </c>
      <c r="G640" s="5"/>
      <c r="H640" s="5"/>
    </row>
    <row r="641" spans="1:6" x14ac:dyDescent="0.25">
      <c r="A641" t="str" cm="1">
        <f t="array" aca="1" ref="A641" ca="1">"aK_SL_1_" &amp; INDIRECT("F" &amp; ROW(C641) - 14) &amp; "_p"</f>
        <v>aK_SL_1_5_2_p</v>
      </c>
      <c r="B641">
        <v>0</v>
      </c>
      <c r="C641" t="s">
        <v>4</v>
      </c>
      <c r="F641" s="5"/>
    </row>
    <row r="642" spans="1:6" x14ac:dyDescent="0.25">
      <c r="A642" t="str" cm="1">
        <f t="array" aca="1" ref="A642" ca="1">"aK_SL_2_" &amp; INDIRECT("F" &amp; ROW(C642) - 15) &amp; "_p"</f>
        <v>aK_SL_2_5_2_p</v>
      </c>
      <c r="B642">
        <v>0</v>
      </c>
      <c r="C642" t="s">
        <v>5</v>
      </c>
    </row>
    <row r="643" spans="1:6" x14ac:dyDescent="0.25">
      <c r="A643" t="str" cm="1">
        <f t="array" aca="1" ref="A643" ca="1">"aK_SL_3_" &amp; INDIRECT("F" &amp; ROW(C643) - 16) &amp; "_p"</f>
        <v>aK_SL_3_5_2_p</v>
      </c>
      <c r="B643">
        <v>2</v>
      </c>
      <c r="C643" t="s">
        <v>6</v>
      </c>
    </row>
    <row r="644" spans="1:6" x14ac:dyDescent="0.25">
      <c r="A644" s="5" t="s">
        <v>95</v>
      </c>
    </row>
    <row r="645" spans="1:6" x14ac:dyDescent="0.25">
      <c r="A645" t="str" cm="1">
        <f t="array" aca="1" ref="A645" ca="1">"aK_DRO_1_" &amp; INDIRECT("F" &amp; ROW(C645) - 18) &amp; "_p"</f>
        <v>aK_DRO_1_5_2_p</v>
      </c>
      <c r="B645">
        <v>0</v>
      </c>
      <c r="C645" t="s">
        <v>4</v>
      </c>
    </row>
    <row r="646" spans="1:6" x14ac:dyDescent="0.25">
      <c r="A646" t="str" cm="1">
        <f t="array" aca="1" ref="A646" ca="1">"aK_DRO_2_" &amp; INDIRECT("F" &amp; ROW(C646) - 19) &amp; "_p"</f>
        <v>aK_DRO_2_5_2_p</v>
      </c>
      <c r="B646">
        <v>0</v>
      </c>
      <c r="C646" t="s">
        <v>5</v>
      </c>
    </row>
    <row r="647" spans="1:6" x14ac:dyDescent="0.25">
      <c r="A647" t="str" cm="1">
        <f t="array" aca="1" ref="A647" ca="1">"aK_DRO_3_" &amp; INDIRECT("F" &amp; ROW(C647) - 20) &amp; "_p"</f>
        <v>aK_DRO_3_5_2_p</v>
      </c>
      <c r="B647">
        <v>2</v>
      </c>
      <c r="C647" t="s">
        <v>6</v>
      </c>
    </row>
    <row r="648" spans="1:6" x14ac:dyDescent="0.25">
      <c r="A648" s="5" t="s">
        <v>96</v>
      </c>
    </row>
    <row r="649" spans="1:6" x14ac:dyDescent="0.25">
      <c r="A649" t="str" cm="1">
        <f t="array" aca="1" ref="A649" ca="1">"aK_CYC_1_" &amp; INDIRECT("F" &amp; ROW(C649) - 22) &amp; "_p"</f>
        <v>aK_CYC_1_5_2_p</v>
      </c>
      <c r="B649">
        <v>0.1</v>
      </c>
      <c r="C649" t="s">
        <v>4</v>
      </c>
    </row>
    <row r="650" spans="1:6" x14ac:dyDescent="0.25">
      <c r="A650" t="str" cm="1">
        <f t="array" aca="1" ref="A650" ca="1">"aK_CYC_2_" &amp; INDIRECT("F" &amp; ROW(C650) - 23) &amp; "_p"</f>
        <v>aK_CYC_2_5_2_p</v>
      </c>
      <c r="B650">
        <v>0</v>
      </c>
      <c r="C650" t="s">
        <v>5</v>
      </c>
    </row>
    <row r="651" spans="1:6" x14ac:dyDescent="0.25">
      <c r="A651" t="str" cm="1">
        <f t="array" aca="1" ref="A651" ca="1">"aK_CYC_3_" &amp; INDIRECT("F" &amp; ROW(C651) - 24) &amp; "_p"</f>
        <v>aK_CYC_3_5_2_p</v>
      </c>
      <c r="B651">
        <v>2</v>
      </c>
      <c r="C651" t="s">
        <v>6</v>
      </c>
    </row>
    <row r="652" spans="1:6" x14ac:dyDescent="0.25">
      <c r="A652" s="31" t="s">
        <v>129</v>
      </c>
      <c r="B652" s="31"/>
      <c r="C652" s="31"/>
      <c r="D652" s="25">
        <v>5</v>
      </c>
      <c r="E652" s="25">
        <v>3</v>
      </c>
      <c r="F652" s="25" t="s">
        <v>184</v>
      </c>
    </row>
    <row r="653" spans="1:6" x14ac:dyDescent="0.25">
      <c r="A653" s="5" t="s">
        <v>3</v>
      </c>
    </row>
    <row r="654" spans="1:6" x14ac:dyDescent="0.25">
      <c r="A654" t="str" cm="1">
        <f t="array" aca="1" ref="A654" ca="1">"aK_T_1_" &amp; INDIRECT("F" &amp; ROW(C654)-2) &amp; "_p"</f>
        <v>aK_T_1_5_3_p</v>
      </c>
      <c r="B654">
        <v>0</v>
      </c>
      <c r="C654" t="s">
        <v>4</v>
      </c>
    </row>
    <row r="655" spans="1:6" x14ac:dyDescent="0.25">
      <c r="A655" t="str" cm="1">
        <f t="array" aca="1" ref="A655" ca="1">"aK_T_2_" &amp; INDIRECT("F" &amp; ROW(C655)-3) &amp; "_p"</f>
        <v>aK_T_2_5_3_p</v>
      </c>
      <c r="B655">
        <v>0</v>
      </c>
      <c r="C655" t="s">
        <v>5</v>
      </c>
    </row>
    <row r="656" spans="1:6" x14ac:dyDescent="0.25">
      <c r="A656" t="str" cm="1">
        <f t="array" aca="1" ref="A656" ca="1">"aK_T_3_" &amp; INDIRECT("F" &amp; ROW(C656)-4) &amp; "_p"</f>
        <v>aK_T_3_5_3_p</v>
      </c>
      <c r="B656">
        <v>2</v>
      </c>
      <c r="C656" t="s">
        <v>6</v>
      </c>
    </row>
    <row r="657" spans="1:8" x14ac:dyDescent="0.25">
      <c r="A657" s="5" t="s">
        <v>8</v>
      </c>
    </row>
    <row r="658" spans="1:8" x14ac:dyDescent="0.25">
      <c r="A658" t="str" cm="1">
        <f t="array" aca="1" ref="A658" ca="1">"aK_WS_1_" &amp; INDIRECT("F" &amp; ROW(C658)-6) &amp; "_p"</f>
        <v>aK_WS_1_5_3_p</v>
      </c>
      <c r="B658">
        <v>0</v>
      </c>
      <c r="C658" t="s">
        <v>4</v>
      </c>
    </row>
    <row r="659" spans="1:8" x14ac:dyDescent="0.25">
      <c r="A659" t="str" cm="1">
        <f t="array" aca="1" ref="A659" ca="1">"aK_WS_2_" &amp; INDIRECT("F" &amp; ROW(C659)-7) &amp; "_p"</f>
        <v>aK_WS_2_5_3_p</v>
      </c>
      <c r="B659">
        <v>0</v>
      </c>
      <c r="C659" t="s">
        <v>5</v>
      </c>
    </row>
    <row r="660" spans="1:8" x14ac:dyDescent="0.25">
      <c r="A660" t="str" cm="1">
        <f t="array" aca="1" ref="A660" ca="1">"aK_WS_3_" &amp; INDIRECT("F" &amp; ROW(C660)-8) &amp; "_p"</f>
        <v>aK_WS_3_5_3_p</v>
      </c>
      <c r="B660">
        <v>2</v>
      </c>
      <c r="C660" t="s">
        <v>6</v>
      </c>
    </row>
    <row r="661" spans="1:8" x14ac:dyDescent="0.25">
      <c r="A661" s="5" t="s">
        <v>7</v>
      </c>
      <c r="G661" s="5"/>
      <c r="H661" s="5"/>
    </row>
    <row r="662" spans="1:8" x14ac:dyDescent="0.25">
      <c r="A662" t="str" cm="1">
        <f t="array" aca="1" ref="A662" ca="1">"aK_PREC_1_" &amp; INDIRECT("F" &amp; ROW(C662) - 10) &amp; "_p"</f>
        <v>aK_PREC_1_5_3_p</v>
      </c>
      <c r="B662">
        <v>0</v>
      </c>
      <c r="C662" t="s">
        <v>4</v>
      </c>
      <c r="F662" s="5"/>
    </row>
    <row r="663" spans="1:8" x14ac:dyDescent="0.25">
      <c r="A663" t="str" cm="1">
        <f t="array" aca="1" ref="A663" ca="1">"aK_PREC_2_" &amp; INDIRECT("F" &amp; ROW(C663) - 11) &amp; "_p"</f>
        <v>aK_PREC_2_5_3_p</v>
      </c>
      <c r="B663">
        <v>0</v>
      </c>
      <c r="C663" t="s">
        <v>5</v>
      </c>
    </row>
    <row r="664" spans="1:8" x14ac:dyDescent="0.25">
      <c r="A664" t="str" cm="1">
        <f t="array" aca="1" ref="A664" ca="1">"aK_PREC_3_" &amp; INDIRECT("F" &amp; ROW(C664) - 12) &amp; "_p"</f>
        <v>aK_PREC_3_5_3_p</v>
      </c>
      <c r="B664">
        <v>2</v>
      </c>
      <c r="C664" t="s">
        <v>6</v>
      </c>
    </row>
    <row r="665" spans="1:8" x14ac:dyDescent="0.25">
      <c r="A665" s="5" t="s">
        <v>9</v>
      </c>
      <c r="G665" s="5"/>
      <c r="H665" s="5"/>
    </row>
    <row r="666" spans="1:8" x14ac:dyDescent="0.25">
      <c r="A666" t="str" cm="1">
        <f t="array" aca="1" ref="A666" ca="1">"aK_SL_1_" &amp; INDIRECT("F" &amp; ROW(C666) - 14) &amp; "_p"</f>
        <v>aK_SL_1_5_3_p</v>
      </c>
      <c r="B666">
        <v>0</v>
      </c>
      <c r="C666" t="s">
        <v>4</v>
      </c>
      <c r="F666" s="5"/>
    </row>
    <row r="667" spans="1:8" x14ac:dyDescent="0.25">
      <c r="A667" t="str" cm="1">
        <f t="array" aca="1" ref="A667" ca="1">"aK_SL_2_" &amp; INDIRECT("F" &amp; ROW(C667) - 15) &amp; "_p"</f>
        <v>aK_SL_2_5_3_p</v>
      </c>
      <c r="B667">
        <v>0</v>
      </c>
      <c r="C667" t="s">
        <v>5</v>
      </c>
    </row>
    <row r="668" spans="1:8" x14ac:dyDescent="0.25">
      <c r="A668" t="str" cm="1">
        <f t="array" aca="1" ref="A668" ca="1">"aK_SL_3_" &amp; INDIRECT("F" &amp; ROW(C668) - 16) &amp; "_p"</f>
        <v>aK_SL_3_5_3_p</v>
      </c>
      <c r="B668">
        <v>2</v>
      </c>
      <c r="C668" t="s">
        <v>6</v>
      </c>
    </row>
    <row r="669" spans="1:8" x14ac:dyDescent="0.25">
      <c r="A669" s="5" t="s">
        <v>95</v>
      </c>
    </row>
    <row r="670" spans="1:8" x14ac:dyDescent="0.25">
      <c r="A670" t="str" cm="1">
        <f t="array" aca="1" ref="A670" ca="1">"aK_DRO_1_" &amp; INDIRECT("F" &amp; ROW(C670) - 18) &amp; "_p"</f>
        <v>aK_DRO_1_5_3_p</v>
      </c>
      <c r="B670">
        <v>0</v>
      </c>
      <c r="C670" t="s">
        <v>4</v>
      </c>
    </row>
    <row r="671" spans="1:8" x14ac:dyDescent="0.25">
      <c r="A671" t="str" cm="1">
        <f t="array" aca="1" ref="A671" ca="1">"aK_DRO_2_" &amp; INDIRECT("F" &amp; ROW(C671) - 19) &amp; "_p"</f>
        <v>aK_DRO_2_5_3_p</v>
      </c>
      <c r="B671">
        <v>0</v>
      </c>
      <c r="C671" t="s">
        <v>5</v>
      </c>
    </row>
    <row r="672" spans="1:8" x14ac:dyDescent="0.25">
      <c r="A672" t="str" cm="1">
        <f t="array" aca="1" ref="A672" ca="1">"aK_DRO_3_" &amp; INDIRECT("F" &amp; ROW(C672) - 20) &amp; "_p"</f>
        <v>aK_DRO_3_5_3_p</v>
      </c>
      <c r="B672">
        <v>2</v>
      </c>
      <c r="C672" t="s">
        <v>6</v>
      </c>
    </row>
    <row r="673" spans="1:8" x14ac:dyDescent="0.25">
      <c r="A673" s="5" t="s">
        <v>96</v>
      </c>
    </row>
    <row r="674" spans="1:8" x14ac:dyDescent="0.25">
      <c r="A674" t="str" cm="1">
        <f t="array" aca="1" ref="A674" ca="1">"aK_CYC_1_" &amp; INDIRECT("F" &amp; ROW(C674) - 22) &amp; "_p"</f>
        <v>aK_CYC_1_5_3_p</v>
      </c>
      <c r="B674">
        <v>0.1</v>
      </c>
      <c r="C674" t="s">
        <v>4</v>
      </c>
    </row>
    <row r="675" spans="1:8" x14ac:dyDescent="0.25">
      <c r="A675" t="str" cm="1">
        <f t="array" aca="1" ref="A675" ca="1">"aK_CYC_2_" &amp; INDIRECT("F" &amp; ROW(C675) - 23) &amp; "_p"</f>
        <v>aK_CYC_2_5_3_p</v>
      </c>
      <c r="B675">
        <v>0</v>
      </c>
      <c r="C675" t="s">
        <v>5</v>
      </c>
    </row>
    <row r="676" spans="1:8" x14ac:dyDescent="0.25">
      <c r="A676" t="str" cm="1">
        <f t="array" aca="1" ref="A676" ca="1">"aK_CYC_3_" &amp; INDIRECT("F" &amp; ROW(C676) - 24) &amp; "_p"</f>
        <v>aK_CYC_3_5_3_p</v>
      </c>
      <c r="B676">
        <v>2</v>
      </c>
      <c r="C676" t="s">
        <v>6</v>
      </c>
    </row>
    <row r="677" spans="1:8" x14ac:dyDescent="0.25">
      <c r="A677" s="31" t="s">
        <v>130</v>
      </c>
      <c r="B677" s="31"/>
      <c r="C677" s="31"/>
      <c r="D677" s="25">
        <v>5</v>
      </c>
      <c r="E677" s="25">
        <v>4</v>
      </c>
      <c r="F677" s="25" t="s">
        <v>183</v>
      </c>
    </row>
    <row r="678" spans="1:8" x14ac:dyDescent="0.25">
      <c r="A678" s="5" t="s">
        <v>3</v>
      </c>
    </row>
    <row r="679" spans="1:8" x14ac:dyDescent="0.25">
      <c r="A679" t="str" cm="1">
        <f t="array" aca="1" ref="A679" ca="1">"aK_T_1_" &amp; INDIRECT("F" &amp; ROW(C679)-2) &amp; "_p"</f>
        <v>aK_T_1_5_4_p</v>
      </c>
      <c r="B679">
        <v>0</v>
      </c>
      <c r="C679" t="s">
        <v>4</v>
      </c>
    </row>
    <row r="680" spans="1:8" x14ac:dyDescent="0.25">
      <c r="A680" t="str" cm="1">
        <f t="array" aca="1" ref="A680" ca="1">"aK_T_2_" &amp; INDIRECT("F" &amp; ROW(C680)-3) &amp; "_p"</f>
        <v>aK_T_2_5_4_p</v>
      </c>
      <c r="B680">
        <v>0</v>
      </c>
      <c r="C680" t="s">
        <v>5</v>
      </c>
    </row>
    <row r="681" spans="1:8" x14ac:dyDescent="0.25">
      <c r="A681" t="str" cm="1">
        <f t="array" aca="1" ref="A681" ca="1">"aK_T_3_" &amp; INDIRECT("F" &amp; ROW(C681)-4) &amp; "_p"</f>
        <v>aK_T_3_5_4_p</v>
      </c>
      <c r="B681">
        <v>2</v>
      </c>
      <c r="C681" t="s">
        <v>6</v>
      </c>
    </row>
    <row r="682" spans="1:8" x14ac:dyDescent="0.25">
      <c r="A682" s="5" t="s">
        <v>8</v>
      </c>
    </row>
    <row r="683" spans="1:8" x14ac:dyDescent="0.25">
      <c r="A683" t="str" cm="1">
        <f t="array" aca="1" ref="A683" ca="1">"aK_WS_1_" &amp; INDIRECT("F" &amp; ROW(C683)-6) &amp; "_p"</f>
        <v>aK_WS_1_5_4_p</v>
      </c>
      <c r="B683">
        <v>0</v>
      </c>
      <c r="C683" t="s">
        <v>4</v>
      </c>
    </row>
    <row r="684" spans="1:8" x14ac:dyDescent="0.25">
      <c r="A684" t="str" cm="1">
        <f t="array" aca="1" ref="A684" ca="1">"aK_WS_2_" &amp; INDIRECT("F" &amp; ROW(C684)-7) &amp; "_p"</f>
        <v>aK_WS_2_5_4_p</v>
      </c>
      <c r="B684">
        <v>0</v>
      </c>
      <c r="C684" t="s">
        <v>5</v>
      </c>
    </row>
    <row r="685" spans="1:8" x14ac:dyDescent="0.25">
      <c r="A685" t="str" cm="1">
        <f t="array" aca="1" ref="A685" ca="1">"aK_WS_3_" &amp; INDIRECT("F" &amp; ROW(C685)-8) &amp; "_p"</f>
        <v>aK_WS_3_5_4_p</v>
      </c>
      <c r="B685">
        <v>2</v>
      </c>
      <c r="C685" t="s">
        <v>6</v>
      </c>
    </row>
    <row r="686" spans="1:8" x14ac:dyDescent="0.25">
      <c r="A686" s="5" t="s">
        <v>7</v>
      </c>
      <c r="G686" s="5"/>
      <c r="H686" s="5"/>
    </row>
    <row r="687" spans="1:8" x14ac:dyDescent="0.25">
      <c r="A687" t="str" cm="1">
        <f t="array" aca="1" ref="A687" ca="1">"aK_PREC_1_" &amp; INDIRECT("F" &amp; ROW(C687) - 10) &amp; "_p"</f>
        <v>aK_PREC_1_5_4_p</v>
      </c>
      <c r="B687">
        <v>0</v>
      </c>
      <c r="C687" t="s">
        <v>4</v>
      </c>
      <c r="F687" s="5"/>
    </row>
    <row r="688" spans="1:8" x14ac:dyDescent="0.25">
      <c r="A688" t="str" cm="1">
        <f t="array" aca="1" ref="A688" ca="1">"aK_PREC_2_" &amp; INDIRECT("F" &amp; ROW(C688) - 11) &amp; "_p"</f>
        <v>aK_PREC_2_5_4_p</v>
      </c>
      <c r="B688">
        <v>0</v>
      </c>
      <c r="C688" t="s">
        <v>5</v>
      </c>
    </row>
    <row r="689" spans="1:8" x14ac:dyDescent="0.25">
      <c r="A689" t="str" cm="1">
        <f t="array" aca="1" ref="A689" ca="1">"aK_PREC_3_" &amp; INDIRECT("F" &amp; ROW(C689) - 12) &amp; "_p"</f>
        <v>aK_PREC_3_5_4_p</v>
      </c>
      <c r="B689">
        <v>2</v>
      </c>
      <c r="C689" t="s">
        <v>6</v>
      </c>
    </row>
    <row r="690" spans="1:8" x14ac:dyDescent="0.25">
      <c r="A690" s="5" t="s">
        <v>9</v>
      </c>
      <c r="G690" s="5"/>
      <c r="H690" s="5"/>
    </row>
    <row r="691" spans="1:8" x14ac:dyDescent="0.25">
      <c r="A691" t="str" cm="1">
        <f t="array" aca="1" ref="A691" ca="1">"aK_SL_1_" &amp; INDIRECT("F" &amp; ROW(C691) - 14) &amp; "_p"</f>
        <v>aK_SL_1_5_4_p</v>
      </c>
      <c r="B691">
        <v>0</v>
      </c>
      <c r="C691" t="s">
        <v>4</v>
      </c>
      <c r="F691" s="5"/>
    </row>
    <row r="692" spans="1:8" x14ac:dyDescent="0.25">
      <c r="A692" t="str" cm="1">
        <f t="array" aca="1" ref="A692" ca="1">"aK_SL_2_" &amp; INDIRECT("F" &amp; ROW(C692) - 15) &amp; "_p"</f>
        <v>aK_SL_2_5_4_p</v>
      </c>
      <c r="B692">
        <v>0</v>
      </c>
      <c r="C692" t="s">
        <v>5</v>
      </c>
    </row>
    <row r="693" spans="1:8" x14ac:dyDescent="0.25">
      <c r="A693" t="str" cm="1">
        <f t="array" aca="1" ref="A693" ca="1">"aK_SL_3_" &amp; INDIRECT("F" &amp; ROW(C693) - 16) &amp; "_p"</f>
        <v>aK_SL_3_5_4_p</v>
      </c>
      <c r="B693">
        <v>2</v>
      </c>
      <c r="C693" t="s">
        <v>6</v>
      </c>
    </row>
    <row r="694" spans="1:8" x14ac:dyDescent="0.25">
      <c r="A694" s="5" t="s">
        <v>95</v>
      </c>
    </row>
    <row r="695" spans="1:8" x14ac:dyDescent="0.25">
      <c r="A695" t="str" cm="1">
        <f t="array" aca="1" ref="A695" ca="1">"aK_DRO_1_" &amp; INDIRECT("F" &amp; ROW(C695) - 18) &amp; "_p"</f>
        <v>aK_DRO_1_5_4_p</v>
      </c>
      <c r="B695">
        <v>0</v>
      </c>
      <c r="C695" t="s">
        <v>4</v>
      </c>
    </row>
    <row r="696" spans="1:8" x14ac:dyDescent="0.25">
      <c r="A696" t="str" cm="1">
        <f t="array" aca="1" ref="A696" ca="1">"aK_DRO_2_" &amp; INDIRECT("F" &amp; ROW(C696) - 19) &amp; "_p"</f>
        <v>aK_DRO_2_5_4_p</v>
      </c>
      <c r="B696">
        <v>0</v>
      </c>
      <c r="C696" t="s">
        <v>5</v>
      </c>
    </row>
    <row r="697" spans="1:8" x14ac:dyDescent="0.25">
      <c r="A697" t="str" cm="1">
        <f t="array" aca="1" ref="A697" ca="1">"aK_DRO_3_" &amp; INDIRECT("F" &amp; ROW(C697) - 20) &amp; "_p"</f>
        <v>aK_DRO_3_5_4_p</v>
      </c>
      <c r="B697">
        <v>2</v>
      </c>
      <c r="C697" t="s">
        <v>6</v>
      </c>
    </row>
    <row r="698" spans="1:8" x14ac:dyDescent="0.25">
      <c r="A698" s="5" t="s">
        <v>96</v>
      </c>
    </row>
    <row r="699" spans="1:8" x14ac:dyDescent="0.25">
      <c r="A699" t="str" cm="1">
        <f t="array" aca="1" ref="A699" ca="1">"aK_CYC_1_" &amp; INDIRECT("F" &amp; ROW(C699) - 22) &amp; "_p"</f>
        <v>aK_CYC_1_5_4_p</v>
      </c>
      <c r="B699">
        <v>0.1</v>
      </c>
      <c r="C699" t="s">
        <v>4</v>
      </c>
    </row>
    <row r="700" spans="1:8" x14ac:dyDescent="0.25">
      <c r="A700" t="str" cm="1">
        <f t="array" aca="1" ref="A700" ca="1">"aK_CYC_2_" &amp; INDIRECT("F" &amp; ROW(C700) - 23) &amp; "_p"</f>
        <v>aK_CYC_2_5_4_p</v>
      </c>
      <c r="B700">
        <v>0</v>
      </c>
      <c r="C700" t="s">
        <v>5</v>
      </c>
    </row>
    <row r="701" spans="1:8" x14ac:dyDescent="0.25">
      <c r="A701" t="str" cm="1">
        <f t="array" aca="1" ref="A701" ca="1">"aK_CYC_3_" &amp; INDIRECT("F" &amp; ROW(C701) - 24) &amp; "_p"</f>
        <v>aK_CYC_3_5_4_p</v>
      </c>
      <c r="B701">
        <v>2</v>
      </c>
      <c r="C701" t="s">
        <v>6</v>
      </c>
    </row>
    <row r="702" spans="1:8" x14ac:dyDescent="0.25">
      <c r="A702" s="31" t="s">
        <v>131</v>
      </c>
      <c r="B702" s="31"/>
      <c r="C702" s="31"/>
      <c r="D702" s="25">
        <v>5</v>
      </c>
      <c r="E702" s="25">
        <v>5</v>
      </c>
      <c r="F702" s="25" t="s">
        <v>182</v>
      </c>
    </row>
    <row r="703" spans="1:8" x14ac:dyDescent="0.25">
      <c r="A703" s="5" t="s">
        <v>3</v>
      </c>
    </row>
    <row r="704" spans="1:8" x14ac:dyDescent="0.25">
      <c r="A704" t="str" cm="1">
        <f t="array" aca="1" ref="A704" ca="1">"aK_T_1_" &amp; INDIRECT("F" &amp; ROW(C704)-2) &amp; "_p"</f>
        <v>aK_T_1_5_5_p</v>
      </c>
      <c r="B704">
        <v>0</v>
      </c>
      <c r="C704" t="s">
        <v>4</v>
      </c>
    </row>
    <row r="705" spans="1:8" x14ac:dyDescent="0.25">
      <c r="A705" t="str" cm="1">
        <f t="array" aca="1" ref="A705" ca="1">"aK_T_2_" &amp; INDIRECT("F" &amp; ROW(C705)-3) &amp; "_p"</f>
        <v>aK_T_2_5_5_p</v>
      </c>
      <c r="B705">
        <v>0</v>
      </c>
      <c r="C705" t="s">
        <v>5</v>
      </c>
    </row>
    <row r="706" spans="1:8" x14ac:dyDescent="0.25">
      <c r="A706" t="str" cm="1">
        <f t="array" aca="1" ref="A706" ca="1">"aK_T_3_" &amp; INDIRECT("F" &amp; ROW(C706)-4) &amp; "_p"</f>
        <v>aK_T_3_5_5_p</v>
      </c>
      <c r="B706">
        <v>2</v>
      </c>
      <c r="C706" t="s">
        <v>6</v>
      </c>
    </row>
    <row r="707" spans="1:8" x14ac:dyDescent="0.25">
      <c r="A707" s="5" t="s">
        <v>8</v>
      </c>
    </row>
    <row r="708" spans="1:8" x14ac:dyDescent="0.25">
      <c r="A708" t="str" cm="1">
        <f t="array" aca="1" ref="A708" ca="1">"aK_WS_1_" &amp; INDIRECT("F" &amp; ROW(C708)-6) &amp; "_p"</f>
        <v>aK_WS_1_5_5_p</v>
      </c>
      <c r="B708">
        <v>0</v>
      </c>
      <c r="C708" t="s">
        <v>4</v>
      </c>
    </row>
    <row r="709" spans="1:8" x14ac:dyDescent="0.25">
      <c r="A709" t="str" cm="1">
        <f t="array" aca="1" ref="A709" ca="1">"aK_WS_2_" &amp; INDIRECT("F" &amp; ROW(C709)-7) &amp; "_p"</f>
        <v>aK_WS_2_5_5_p</v>
      </c>
      <c r="B709">
        <v>0</v>
      </c>
      <c r="C709" t="s">
        <v>5</v>
      </c>
    </row>
    <row r="710" spans="1:8" x14ac:dyDescent="0.25">
      <c r="A710" t="str" cm="1">
        <f t="array" aca="1" ref="A710" ca="1">"aK_WS_3_" &amp; INDIRECT("F" &amp; ROW(C710)-8) &amp; "_p"</f>
        <v>aK_WS_3_5_5_p</v>
      </c>
      <c r="B710">
        <v>2</v>
      </c>
      <c r="C710" t="s">
        <v>6</v>
      </c>
    </row>
    <row r="711" spans="1:8" x14ac:dyDescent="0.25">
      <c r="A711" s="5" t="s">
        <v>7</v>
      </c>
      <c r="G711" s="5"/>
      <c r="H711" s="5"/>
    </row>
    <row r="712" spans="1:8" x14ac:dyDescent="0.25">
      <c r="A712" t="str" cm="1">
        <f t="array" aca="1" ref="A712" ca="1">"aK_PREC_1_" &amp; INDIRECT("F" &amp; ROW(C712) - 10) &amp; "_p"</f>
        <v>aK_PREC_1_5_5_p</v>
      </c>
      <c r="B712">
        <v>0</v>
      </c>
      <c r="C712" t="s">
        <v>4</v>
      </c>
      <c r="F712" s="5"/>
    </row>
    <row r="713" spans="1:8" x14ac:dyDescent="0.25">
      <c r="A713" t="str" cm="1">
        <f t="array" aca="1" ref="A713" ca="1">"aK_PREC_2_" &amp; INDIRECT("F" &amp; ROW(C713) - 11) &amp; "_p"</f>
        <v>aK_PREC_2_5_5_p</v>
      </c>
      <c r="B713">
        <v>0</v>
      </c>
      <c r="C713" t="s">
        <v>5</v>
      </c>
    </row>
    <row r="714" spans="1:8" x14ac:dyDescent="0.25">
      <c r="A714" t="str" cm="1">
        <f t="array" aca="1" ref="A714" ca="1">"aK_PREC_3_" &amp; INDIRECT("F" &amp; ROW(C714) - 12) &amp; "_p"</f>
        <v>aK_PREC_3_5_5_p</v>
      </c>
      <c r="B714">
        <v>2</v>
      </c>
      <c r="C714" t="s">
        <v>6</v>
      </c>
    </row>
    <row r="715" spans="1:8" x14ac:dyDescent="0.25">
      <c r="A715" s="5" t="s">
        <v>9</v>
      </c>
      <c r="G715" s="5"/>
      <c r="H715" s="5"/>
    </row>
    <row r="716" spans="1:8" x14ac:dyDescent="0.25">
      <c r="A716" t="str" cm="1">
        <f t="array" aca="1" ref="A716" ca="1">"aK_SL_1_" &amp; INDIRECT("F" &amp; ROW(C716) - 14) &amp; "_p"</f>
        <v>aK_SL_1_5_5_p</v>
      </c>
      <c r="B716">
        <v>0</v>
      </c>
      <c r="C716" t="s">
        <v>4</v>
      </c>
      <c r="F716" s="5"/>
    </row>
    <row r="717" spans="1:8" x14ac:dyDescent="0.25">
      <c r="A717" t="str" cm="1">
        <f t="array" aca="1" ref="A717" ca="1">"aK_SL_2_" &amp; INDIRECT("F" &amp; ROW(C717) - 15) &amp; "_p"</f>
        <v>aK_SL_2_5_5_p</v>
      </c>
      <c r="B717">
        <v>0</v>
      </c>
      <c r="C717" t="s">
        <v>5</v>
      </c>
    </row>
    <row r="718" spans="1:8" x14ac:dyDescent="0.25">
      <c r="A718" t="str" cm="1">
        <f t="array" aca="1" ref="A718" ca="1">"aK_SL_3_" &amp; INDIRECT("F" &amp; ROW(C718) - 16) &amp; "_p"</f>
        <v>aK_SL_3_5_5_p</v>
      </c>
      <c r="B718">
        <v>2</v>
      </c>
      <c r="C718" t="s">
        <v>6</v>
      </c>
    </row>
    <row r="719" spans="1:8" x14ac:dyDescent="0.25">
      <c r="A719" s="5" t="s">
        <v>95</v>
      </c>
    </row>
    <row r="720" spans="1:8" x14ac:dyDescent="0.25">
      <c r="A720" t="str" cm="1">
        <f t="array" aca="1" ref="A720" ca="1">"aK_DRO_1_" &amp; INDIRECT("F" &amp; ROW(C720) - 18) &amp; "_p"</f>
        <v>aK_DRO_1_5_5_p</v>
      </c>
      <c r="B720">
        <v>0</v>
      </c>
      <c r="C720" t="s">
        <v>4</v>
      </c>
    </row>
    <row r="721" spans="1:8" x14ac:dyDescent="0.25">
      <c r="A721" t="str" cm="1">
        <f t="array" aca="1" ref="A721" ca="1">"aK_DRO_2_" &amp; INDIRECT("F" &amp; ROW(C721) - 19) &amp; "_p"</f>
        <v>aK_DRO_2_5_5_p</v>
      </c>
      <c r="B721">
        <v>0</v>
      </c>
      <c r="C721" t="s">
        <v>5</v>
      </c>
    </row>
    <row r="722" spans="1:8" x14ac:dyDescent="0.25">
      <c r="A722" t="str" cm="1">
        <f t="array" aca="1" ref="A722" ca="1">"aK_DRO_3_" &amp; INDIRECT("F" &amp; ROW(C722) - 20) &amp; "_p"</f>
        <v>aK_DRO_3_5_5_p</v>
      </c>
      <c r="B722">
        <v>2</v>
      </c>
      <c r="C722" t="s">
        <v>6</v>
      </c>
    </row>
    <row r="723" spans="1:8" x14ac:dyDescent="0.25">
      <c r="A723" s="5" t="s">
        <v>96</v>
      </c>
    </row>
    <row r="724" spans="1:8" x14ac:dyDescent="0.25">
      <c r="A724" t="str" cm="1">
        <f t="array" aca="1" ref="A724" ca="1">"aK_CYC_1_" &amp; INDIRECT("F" &amp; ROW(C724) - 22) &amp; "_p"</f>
        <v>aK_CYC_1_5_5_p</v>
      </c>
      <c r="B724">
        <v>0.1</v>
      </c>
      <c r="C724" t="s">
        <v>4</v>
      </c>
    </row>
    <row r="725" spans="1:8" x14ac:dyDescent="0.25">
      <c r="A725" t="str" cm="1">
        <f t="array" aca="1" ref="A725" ca="1">"aK_CYC_2_" &amp; INDIRECT("F" &amp; ROW(C725) - 23) &amp; "_p"</f>
        <v>aK_CYC_2_5_5_p</v>
      </c>
      <c r="B725">
        <v>0</v>
      </c>
      <c r="C725" t="s">
        <v>5</v>
      </c>
    </row>
    <row r="726" spans="1:8" x14ac:dyDescent="0.25">
      <c r="A726" t="str" cm="1">
        <f t="array" aca="1" ref="A726" ca="1">"aK_CYC_3_" &amp; INDIRECT("F" &amp; ROW(C726) - 24) &amp; "_p"</f>
        <v>aK_CYC_3_5_5_p</v>
      </c>
      <c r="B726">
        <v>2</v>
      </c>
      <c r="C726" t="s">
        <v>6</v>
      </c>
    </row>
    <row r="727" spans="1:8" x14ac:dyDescent="0.25">
      <c r="A727" s="31" t="s">
        <v>132</v>
      </c>
      <c r="B727" s="31"/>
      <c r="C727" s="31"/>
      <c r="D727" s="25">
        <v>5</v>
      </c>
      <c r="E727" s="25">
        <v>6</v>
      </c>
      <c r="F727" s="25" t="s">
        <v>181</v>
      </c>
    </row>
    <row r="728" spans="1:8" x14ac:dyDescent="0.25">
      <c r="A728" s="5" t="s">
        <v>3</v>
      </c>
    </row>
    <row r="729" spans="1:8" x14ac:dyDescent="0.25">
      <c r="A729" t="str" cm="1">
        <f t="array" aca="1" ref="A729" ca="1">"aK_T_1_" &amp; INDIRECT("F" &amp; ROW(C729)-2) &amp; "_p"</f>
        <v>aK_T_1_5_6_p</v>
      </c>
      <c r="B729">
        <v>0</v>
      </c>
      <c r="C729" t="s">
        <v>4</v>
      </c>
    </row>
    <row r="730" spans="1:8" x14ac:dyDescent="0.25">
      <c r="A730" t="str" cm="1">
        <f t="array" aca="1" ref="A730" ca="1">"aK_T_2_" &amp; INDIRECT("F" &amp; ROW(C730)-3) &amp; "_p"</f>
        <v>aK_T_2_5_6_p</v>
      </c>
      <c r="B730">
        <v>0</v>
      </c>
      <c r="C730" t="s">
        <v>5</v>
      </c>
    </row>
    <row r="731" spans="1:8" x14ac:dyDescent="0.25">
      <c r="A731" t="str" cm="1">
        <f t="array" aca="1" ref="A731" ca="1">"aK_T_3_" &amp; INDIRECT("F" &amp; ROW(C731)-4) &amp; "_p"</f>
        <v>aK_T_3_5_6_p</v>
      </c>
      <c r="B731">
        <v>2</v>
      </c>
      <c r="C731" t="s">
        <v>6</v>
      </c>
    </row>
    <row r="732" spans="1:8" x14ac:dyDescent="0.25">
      <c r="A732" s="5" t="s">
        <v>8</v>
      </c>
    </row>
    <row r="733" spans="1:8" x14ac:dyDescent="0.25">
      <c r="A733" t="str" cm="1">
        <f t="array" aca="1" ref="A733" ca="1">"aK_WS_1_" &amp; INDIRECT("F" &amp; ROW(C733)-6) &amp; "_p"</f>
        <v>aK_WS_1_5_6_p</v>
      </c>
      <c r="B733">
        <v>0</v>
      </c>
      <c r="C733" t="s">
        <v>4</v>
      </c>
    </row>
    <row r="734" spans="1:8" x14ac:dyDescent="0.25">
      <c r="A734" t="str" cm="1">
        <f t="array" aca="1" ref="A734" ca="1">"aK_WS_2_" &amp; INDIRECT("F" &amp; ROW(C734)-7) &amp; "_p"</f>
        <v>aK_WS_2_5_6_p</v>
      </c>
      <c r="B734">
        <v>0</v>
      </c>
      <c r="C734" t="s">
        <v>5</v>
      </c>
    </row>
    <row r="735" spans="1:8" x14ac:dyDescent="0.25">
      <c r="A735" t="str" cm="1">
        <f t="array" aca="1" ref="A735" ca="1">"aK_WS_3_" &amp; INDIRECT("F" &amp; ROW(C735)-8) &amp; "_p"</f>
        <v>aK_WS_3_5_6_p</v>
      </c>
      <c r="B735">
        <v>2</v>
      </c>
      <c r="C735" t="s">
        <v>6</v>
      </c>
    </row>
    <row r="736" spans="1:8" x14ac:dyDescent="0.25">
      <c r="A736" s="5" t="s">
        <v>7</v>
      </c>
      <c r="G736" s="5"/>
      <c r="H736" s="5"/>
    </row>
    <row r="737" spans="1:8" x14ac:dyDescent="0.25">
      <c r="A737" t="str" cm="1">
        <f t="array" aca="1" ref="A737" ca="1">"aK_PREC_1_" &amp; INDIRECT("F" &amp; ROW(C737) - 10) &amp; "_p"</f>
        <v>aK_PREC_1_5_6_p</v>
      </c>
      <c r="B737">
        <v>0</v>
      </c>
      <c r="C737" t="s">
        <v>4</v>
      </c>
      <c r="F737" s="5"/>
    </row>
    <row r="738" spans="1:8" x14ac:dyDescent="0.25">
      <c r="A738" t="str" cm="1">
        <f t="array" aca="1" ref="A738" ca="1">"aK_PREC_2_" &amp; INDIRECT("F" &amp; ROW(C738) - 11) &amp; "_p"</f>
        <v>aK_PREC_2_5_6_p</v>
      </c>
      <c r="B738">
        <v>0</v>
      </c>
      <c r="C738" t="s">
        <v>5</v>
      </c>
    </row>
    <row r="739" spans="1:8" x14ac:dyDescent="0.25">
      <c r="A739" t="str" cm="1">
        <f t="array" aca="1" ref="A739" ca="1">"aK_PREC_3_" &amp; INDIRECT("F" &amp; ROW(C739) - 12) &amp; "_p"</f>
        <v>aK_PREC_3_5_6_p</v>
      </c>
      <c r="B739">
        <v>2</v>
      </c>
      <c r="C739" t="s">
        <v>6</v>
      </c>
    </row>
    <row r="740" spans="1:8" x14ac:dyDescent="0.25">
      <c r="A740" s="5" t="s">
        <v>9</v>
      </c>
      <c r="G740" s="5"/>
      <c r="H740" s="5"/>
    </row>
    <row r="741" spans="1:8" x14ac:dyDescent="0.25">
      <c r="A741" t="str" cm="1">
        <f t="array" aca="1" ref="A741" ca="1">"aK_SL_1_" &amp; INDIRECT("F" &amp; ROW(C741) - 14) &amp; "_p"</f>
        <v>aK_SL_1_5_6_p</v>
      </c>
      <c r="B741">
        <v>0</v>
      </c>
      <c r="C741" t="s">
        <v>4</v>
      </c>
      <c r="F741" s="5"/>
    </row>
    <row r="742" spans="1:8" x14ac:dyDescent="0.25">
      <c r="A742" t="str" cm="1">
        <f t="array" aca="1" ref="A742" ca="1">"aK_SL_2_" &amp; INDIRECT("F" &amp; ROW(C742) - 15) &amp; "_p"</f>
        <v>aK_SL_2_5_6_p</v>
      </c>
      <c r="B742">
        <v>0</v>
      </c>
      <c r="C742" t="s">
        <v>5</v>
      </c>
    </row>
    <row r="743" spans="1:8" x14ac:dyDescent="0.25">
      <c r="A743" t="str" cm="1">
        <f t="array" aca="1" ref="A743" ca="1">"aK_SL_3_" &amp; INDIRECT("F" &amp; ROW(C743) - 16) &amp; "_p"</f>
        <v>aK_SL_3_5_6_p</v>
      </c>
      <c r="B743">
        <v>2</v>
      </c>
      <c r="C743" t="s">
        <v>6</v>
      </c>
    </row>
    <row r="744" spans="1:8" x14ac:dyDescent="0.25">
      <c r="A744" s="5" t="s">
        <v>95</v>
      </c>
    </row>
    <row r="745" spans="1:8" x14ac:dyDescent="0.25">
      <c r="A745" t="str" cm="1">
        <f t="array" aca="1" ref="A745" ca="1">"aK_DRO_1_" &amp; INDIRECT("F" &amp; ROW(C745) - 18) &amp; "_p"</f>
        <v>aK_DRO_1_5_6_p</v>
      </c>
      <c r="B745">
        <v>0</v>
      </c>
      <c r="C745" t="s">
        <v>4</v>
      </c>
    </row>
    <row r="746" spans="1:8" x14ac:dyDescent="0.25">
      <c r="A746" t="str" cm="1">
        <f t="array" aca="1" ref="A746" ca="1">"aK_DRO_2_" &amp; INDIRECT("F" &amp; ROW(C746) - 19) &amp; "_p"</f>
        <v>aK_DRO_2_5_6_p</v>
      </c>
      <c r="B746">
        <v>0</v>
      </c>
      <c r="C746" t="s">
        <v>5</v>
      </c>
    </row>
    <row r="747" spans="1:8" x14ac:dyDescent="0.25">
      <c r="A747" t="str" cm="1">
        <f t="array" aca="1" ref="A747" ca="1">"aK_DRO_3_" &amp; INDIRECT("F" &amp; ROW(C747) - 20) &amp; "_p"</f>
        <v>aK_DRO_3_5_6_p</v>
      </c>
      <c r="B747">
        <v>2</v>
      </c>
      <c r="C747" t="s">
        <v>6</v>
      </c>
    </row>
    <row r="748" spans="1:8" x14ac:dyDescent="0.25">
      <c r="A748" s="5" t="s">
        <v>96</v>
      </c>
    </row>
    <row r="749" spans="1:8" x14ac:dyDescent="0.25">
      <c r="A749" t="str" cm="1">
        <f t="array" aca="1" ref="A749" ca="1">"aK_CYC_1_" &amp; INDIRECT("F" &amp; ROW(C749) - 22) &amp; "_p"</f>
        <v>aK_CYC_1_5_6_p</v>
      </c>
      <c r="B749">
        <v>0.1</v>
      </c>
      <c r="C749" t="s">
        <v>4</v>
      </c>
    </row>
    <row r="750" spans="1:8" x14ac:dyDescent="0.25">
      <c r="A750" t="str" cm="1">
        <f t="array" aca="1" ref="A750" ca="1">"aK_CYC_2_" &amp; INDIRECT("F" &amp; ROW(C750) - 23) &amp; "_p"</f>
        <v>aK_CYC_2_5_6_p</v>
      </c>
      <c r="B750">
        <v>0</v>
      </c>
      <c r="C750" t="s">
        <v>5</v>
      </c>
    </row>
    <row r="751" spans="1:8" x14ac:dyDescent="0.25">
      <c r="A751" t="str" cm="1">
        <f t="array" aca="1" ref="A751" ca="1">"aK_CYC_3_" &amp; INDIRECT("F" &amp; ROW(C751) - 24) &amp; "_p"</f>
        <v>aK_CYC_3_5_6_p</v>
      </c>
      <c r="B751">
        <v>2</v>
      </c>
      <c r="C751" t="s">
        <v>6</v>
      </c>
    </row>
    <row r="752" spans="1:8" x14ac:dyDescent="0.25">
      <c r="A752" s="31" t="s">
        <v>133</v>
      </c>
      <c r="B752" s="31"/>
      <c r="C752" s="31"/>
      <c r="D752" s="25">
        <v>6</v>
      </c>
      <c r="E752" s="25">
        <v>1</v>
      </c>
      <c r="F752" s="25" t="s">
        <v>180</v>
      </c>
    </row>
    <row r="753" spans="1:8" x14ac:dyDescent="0.25">
      <c r="A753" s="5" t="s">
        <v>3</v>
      </c>
    </row>
    <row r="754" spans="1:8" x14ac:dyDescent="0.25">
      <c r="A754" t="str" cm="1">
        <f t="array" aca="1" ref="A754" ca="1">"aK_T_1_" &amp; INDIRECT("F" &amp; ROW(C754)-2) &amp; "_p"</f>
        <v>aK_T_1_6_1_p</v>
      </c>
      <c r="B754">
        <v>0</v>
      </c>
      <c r="C754" t="s">
        <v>4</v>
      </c>
    </row>
    <row r="755" spans="1:8" x14ac:dyDescent="0.25">
      <c r="A755" t="str" cm="1">
        <f t="array" aca="1" ref="A755" ca="1">"aK_T_2_" &amp; INDIRECT("F" &amp; ROW(C755)-3) &amp; "_p"</f>
        <v>aK_T_2_6_1_p</v>
      </c>
      <c r="B755">
        <v>0</v>
      </c>
      <c r="C755" t="s">
        <v>5</v>
      </c>
    </row>
    <row r="756" spans="1:8" x14ac:dyDescent="0.25">
      <c r="A756" t="str" cm="1">
        <f t="array" aca="1" ref="A756" ca="1">"aK_T_3_" &amp; INDIRECT("F" &amp; ROW(C756)-4) &amp; "_p"</f>
        <v>aK_T_3_6_1_p</v>
      </c>
      <c r="B756">
        <v>2</v>
      </c>
      <c r="C756" t="s">
        <v>6</v>
      </c>
    </row>
    <row r="757" spans="1:8" x14ac:dyDescent="0.25">
      <c r="A757" s="5" t="s">
        <v>8</v>
      </c>
    </row>
    <row r="758" spans="1:8" x14ac:dyDescent="0.25">
      <c r="A758" t="str" cm="1">
        <f t="array" aca="1" ref="A758" ca="1">"aK_WS_1_" &amp; INDIRECT("F" &amp; ROW(C758)-6) &amp; "_p"</f>
        <v>aK_WS_1_6_1_p</v>
      </c>
      <c r="B758">
        <v>0</v>
      </c>
      <c r="C758" t="s">
        <v>4</v>
      </c>
    </row>
    <row r="759" spans="1:8" x14ac:dyDescent="0.25">
      <c r="A759" t="str" cm="1">
        <f t="array" aca="1" ref="A759" ca="1">"aK_WS_2_" &amp; INDIRECT("F" &amp; ROW(C759)-7) &amp; "_p"</f>
        <v>aK_WS_2_6_1_p</v>
      </c>
      <c r="B759">
        <v>0</v>
      </c>
      <c r="C759" t="s">
        <v>5</v>
      </c>
    </row>
    <row r="760" spans="1:8" x14ac:dyDescent="0.25">
      <c r="A760" t="str" cm="1">
        <f t="array" aca="1" ref="A760" ca="1">"aK_WS_3_" &amp; INDIRECT("F" &amp; ROW(C760)-8) &amp; "_p"</f>
        <v>aK_WS_3_6_1_p</v>
      </c>
      <c r="B760">
        <v>2</v>
      </c>
      <c r="C760" t="s">
        <v>6</v>
      </c>
    </row>
    <row r="761" spans="1:8" x14ac:dyDescent="0.25">
      <c r="A761" s="5" t="s">
        <v>7</v>
      </c>
      <c r="G761" s="5"/>
      <c r="H761" s="5"/>
    </row>
    <row r="762" spans="1:8" x14ac:dyDescent="0.25">
      <c r="A762" t="str" cm="1">
        <f t="array" aca="1" ref="A762" ca="1">"aK_PREC_1_" &amp; INDIRECT("F" &amp; ROW(C762) - 10) &amp; "_p"</f>
        <v>aK_PREC_1_6_1_p</v>
      </c>
      <c r="B762">
        <v>0</v>
      </c>
      <c r="C762" t="s">
        <v>4</v>
      </c>
      <c r="F762" s="5"/>
    </row>
    <row r="763" spans="1:8" x14ac:dyDescent="0.25">
      <c r="A763" t="str" cm="1">
        <f t="array" aca="1" ref="A763" ca="1">"aK_PREC_2_" &amp; INDIRECT("F" &amp; ROW(C763) - 11) &amp; "_p"</f>
        <v>aK_PREC_2_6_1_p</v>
      </c>
      <c r="B763">
        <v>0</v>
      </c>
      <c r="C763" t="s">
        <v>5</v>
      </c>
    </row>
    <row r="764" spans="1:8" x14ac:dyDescent="0.25">
      <c r="A764" t="str" cm="1">
        <f t="array" aca="1" ref="A764" ca="1">"aK_PREC_3_" &amp; INDIRECT("F" &amp; ROW(C764) - 12) &amp; "_p"</f>
        <v>aK_PREC_3_6_1_p</v>
      </c>
      <c r="B764">
        <v>2</v>
      </c>
      <c r="C764" t="s">
        <v>6</v>
      </c>
    </row>
    <row r="765" spans="1:8" x14ac:dyDescent="0.25">
      <c r="A765" s="5" t="s">
        <v>9</v>
      </c>
      <c r="G765" s="5"/>
      <c r="H765" s="5"/>
    </row>
    <row r="766" spans="1:8" x14ac:dyDescent="0.25">
      <c r="A766" t="str" cm="1">
        <f t="array" aca="1" ref="A766" ca="1">"aK_SL_1_" &amp; INDIRECT("F" &amp; ROW(C766) - 14) &amp; "_p"</f>
        <v>aK_SL_1_6_1_p</v>
      </c>
      <c r="B766">
        <v>0</v>
      </c>
      <c r="C766" t="s">
        <v>4</v>
      </c>
      <c r="F766" s="5"/>
    </row>
    <row r="767" spans="1:8" x14ac:dyDescent="0.25">
      <c r="A767" t="str" cm="1">
        <f t="array" aca="1" ref="A767" ca="1">"aK_SL_2_" &amp; INDIRECT("F" &amp; ROW(C767) - 15) &amp; "_p"</f>
        <v>aK_SL_2_6_1_p</v>
      </c>
      <c r="B767">
        <v>0</v>
      </c>
      <c r="C767" t="s">
        <v>5</v>
      </c>
    </row>
    <row r="768" spans="1:8" x14ac:dyDescent="0.25">
      <c r="A768" t="str" cm="1">
        <f t="array" aca="1" ref="A768" ca="1">"aK_SL_3_" &amp; INDIRECT("F" &amp; ROW(C768) - 16) &amp; "_p"</f>
        <v>aK_SL_3_6_1_p</v>
      </c>
      <c r="B768">
        <v>2</v>
      </c>
      <c r="C768" t="s">
        <v>6</v>
      </c>
    </row>
    <row r="769" spans="1:6" x14ac:dyDescent="0.25">
      <c r="A769" s="5" t="s">
        <v>95</v>
      </c>
    </row>
    <row r="770" spans="1:6" x14ac:dyDescent="0.25">
      <c r="A770" t="str" cm="1">
        <f t="array" aca="1" ref="A770" ca="1">"aK_DRO_1_" &amp; INDIRECT("F" &amp; ROW(C770) - 18) &amp; "_p"</f>
        <v>aK_DRO_1_6_1_p</v>
      </c>
      <c r="B770">
        <v>0</v>
      </c>
      <c r="C770" t="s">
        <v>4</v>
      </c>
    </row>
    <row r="771" spans="1:6" x14ac:dyDescent="0.25">
      <c r="A771" t="str" cm="1">
        <f t="array" aca="1" ref="A771" ca="1">"aK_DRO_2_" &amp; INDIRECT("F" &amp; ROW(C771) - 19) &amp; "_p"</f>
        <v>aK_DRO_2_6_1_p</v>
      </c>
      <c r="B771">
        <v>0</v>
      </c>
      <c r="C771" t="s">
        <v>5</v>
      </c>
    </row>
    <row r="772" spans="1:6" x14ac:dyDescent="0.25">
      <c r="A772" t="str" cm="1">
        <f t="array" aca="1" ref="A772" ca="1">"aK_DRO_3_" &amp; INDIRECT("F" &amp; ROW(C772) - 20) &amp; "_p"</f>
        <v>aK_DRO_3_6_1_p</v>
      </c>
      <c r="B772">
        <v>2</v>
      </c>
      <c r="C772" t="s">
        <v>6</v>
      </c>
    </row>
    <row r="773" spans="1:6" x14ac:dyDescent="0.25">
      <c r="A773" s="5" t="s">
        <v>96</v>
      </c>
    </row>
    <row r="774" spans="1:6" x14ac:dyDescent="0.25">
      <c r="A774" t="str" cm="1">
        <f t="array" aca="1" ref="A774" ca="1">"aK_CYC_1_" &amp; INDIRECT("F" &amp; ROW(C774) - 22) &amp; "_p"</f>
        <v>aK_CYC_1_6_1_p</v>
      </c>
      <c r="B774">
        <v>0.1</v>
      </c>
      <c r="C774" t="s">
        <v>4</v>
      </c>
    </row>
    <row r="775" spans="1:6" x14ac:dyDescent="0.25">
      <c r="A775" t="str" cm="1">
        <f t="array" aca="1" ref="A775" ca="1">"aK_CYC_2_" &amp; INDIRECT("F" &amp; ROW(C775) - 23) &amp; "_p"</f>
        <v>aK_CYC_2_6_1_p</v>
      </c>
      <c r="B775">
        <v>0</v>
      </c>
      <c r="C775" t="s">
        <v>5</v>
      </c>
    </row>
    <row r="776" spans="1:6" x14ac:dyDescent="0.25">
      <c r="A776" t="str" cm="1">
        <f t="array" aca="1" ref="A776" ca="1">"aK_CYC_3_" &amp; INDIRECT("F" &amp; ROW(C776) - 24) &amp; "_p"</f>
        <v>aK_CYC_3_6_1_p</v>
      </c>
      <c r="B776">
        <v>2</v>
      </c>
      <c r="C776" t="s">
        <v>6</v>
      </c>
    </row>
    <row r="777" spans="1:6" x14ac:dyDescent="0.25">
      <c r="A777" s="31" t="s">
        <v>134</v>
      </c>
      <c r="B777" s="31"/>
      <c r="C777" s="31"/>
      <c r="D777" s="25">
        <v>6</v>
      </c>
      <c r="E777" s="25">
        <v>2</v>
      </c>
      <c r="F777" s="25" t="s">
        <v>179</v>
      </c>
    </row>
    <row r="778" spans="1:6" x14ac:dyDescent="0.25">
      <c r="A778" s="5" t="s">
        <v>3</v>
      </c>
    </row>
    <row r="779" spans="1:6" x14ac:dyDescent="0.25">
      <c r="A779" t="str" cm="1">
        <f t="array" aca="1" ref="A779" ca="1">"aK_T_1_" &amp; INDIRECT("F" &amp; ROW(C779)-2) &amp; "_p"</f>
        <v>aK_T_1_6_2_p</v>
      </c>
      <c r="B779">
        <v>0</v>
      </c>
      <c r="C779" t="s">
        <v>4</v>
      </c>
    </row>
    <row r="780" spans="1:6" x14ac:dyDescent="0.25">
      <c r="A780" t="str" cm="1">
        <f t="array" aca="1" ref="A780" ca="1">"aK_T_2_" &amp; INDIRECT("F" &amp; ROW(C780)-3) &amp; "_p"</f>
        <v>aK_T_2_6_2_p</v>
      </c>
      <c r="B780">
        <v>0</v>
      </c>
      <c r="C780" t="s">
        <v>5</v>
      </c>
    </row>
    <row r="781" spans="1:6" x14ac:dyDescent="0.25">
      <c r="A781" t="str" cm="1">
        <f t="array" aca="1" ref="A781" ca="1">"aK_T_3_" &amp; INDIRECT("F" &amp; ROW(C781)-4) &amp; "_p"</f>
        <v>aK_T_3_6_2_p</v>
      </c>
      <c r="B781">
        <v>2</v>
      </c>
      <c r="C781" t="s">
        <v>6</v>
      </c>
    </row>
    <row r="782" spans="1:6" x14ac:dyDescent="0.25">
      <c r="A782" s="5" t="s">
        <v>8</v>
      </c>
    </row>
    <row r="783" spans="1:6" x14ac:dyDescent="0.25">
      <c r="A783" t="str" cm="1">
        <f t="array" aca="1" ref="A783" ca="1">"aK_WS_1_" &amp; INDIRECT("F" &amp; ROW(C783)-6) &amp; "_p"</f>
        <v>aK_WS_1_6_2_p</v>
      </c>
      <c r="B783">
        <v>0</v>
      </c>
      <c r="C783" t="s">
        <v>4</v>
      </c>
    </row>
    <row r="784" spans="1:6" x14ac:dyDescent="0.25">
      <c r="A784" t="str" cm="1">
        <f t="array" aca="1" ref="A784" ca="1">"aK_WS_2_" &amp; INDIRECT("F" &amp; ROW(C784)-7) &amp; "_p"</f>
        <v>aK_WS_2_6_2_p</v>
      </c>
      <c r="B784">
        <v>0</v>
      </c>
      <c r="C784" t="s">
        <v>5</v>
      </c>
    </row>
    <row r="785" spans="1:8" x14ac:dyDescent="0.25">
      <c r="A785" t="str" cm="1">
        <f t="array" aca="1" ref="A785" ca="1">"aK_WS_3_" &amp; INDIRECT("F" &amp; ROW(C785)-8) &amp; "_p"</f>
        <v>aK_WS_3_6_2_p</v>
      </c>
      <c r="B785">
        <v>2</v>
      </c>
      <c r="C785" t="s">
        <v>6</v>
      </c>
    </row>
    <row r="786" spans="1:8" x14ac:dyDescent="0.25">
      <c r="A786" s="5" t="s">
        <v>7</v>
      </c>
      <c r="G786" s="5"/>
      <c r="H786" s="5"/>
    </row>
    <row r="787" spans="1:8" x14ac:dyDescent="0.25">
      <c r="A787" t="str" cm="1">
        <f t="array" aca="1" ref="A787" ca="1">"aK_PREC_1_" &amp; INDIRECT("F" &amp; ROW(C787) - 10) &amp; "_p"</f>
        <v>aK_PREC_1_6_2_p</v>
      </c>
      <c r="B787">
        <v>0</v>
      </c>
      <c r="C787" t="s">
        <v>4</v>
      </c>
      <c r="F787" s="5"/>
    </row>
    <row r="788" spans="1:8" x14ac:dyDescent="0.25">
      <c r="A788" t="str" cm="1">
        <f t="array" aca="1" ref="A788" ca="1">"aK_PREC_2_" &amp; INDIRECT("F" &amp; ROW(C788) - 11) &amp; "_p"</f>
        <v>aK_PREC_2_6_2_p</v>
      </c>
      <c r="B788">
        <v>0</v>
      </c>
      <c r="C788" t="s">
        <v>5</v>
      </c>
    </row>
    <row r="789" spans="1:8" x14ac:dyDescent="0.25">
      <c r="A789" t="str" cm="1">
        <f t="array" aca="1" ref="A789" ca="1">"aK_PREC_3_" &amp; INDIRECT("F" &amp; ROW(C789) - 12) &amp; "_p"</f>
        <v>aK_PREC_3_6_2_p</v>
      </c>
      <c r="B789">
        <v>2</v>
      </c>
      <c r="C789" t="s">
        <v>6</v>
      </c>
    </row>
    <row r="790" spans="1:8" x14ac:dyDescent="0.25">
      <c r="A790" s="5" t="s">
        <v>9</v>
      </c>
      <c r="G790" s="5"/>
      <c r="H790" s="5"/>
    </row>
    <row r="791" spans="1:8" x14ac:dyDescent="0.25">
      <c r="A791" t="str" cm="1">
        <f t="array" aca="1" ref="A791" ca="1">"aK_SL_1_" &amp; INDIRECT("F" &amp; ROW(C791) - 14) &amp; "_p"</f>
        <v>aK_SL_1_6_2_p</v>
      </c>
      <c r="B791">
        <v>0</v>
      </c>
      <c r="C791" t="s">
        <v>4</v>
      </c>
      <c r="F791" s="5"/>
    </row>
    <row r="792" spans="1:8" x14ac:dyDescent="0.25">
      <c r="A792" t="str" cm="1">
        <f t="array" aca="1" ref="A792" ca="1">"aK_SL_2_" &amp; INDIRECT("F" &amp; ROW(C792) - 15) &amp; "_p"</f>
        <v>aK_SL_2_6_2_p</v>
      </c>
      <c r="B792">
        <v>0</v>
      </c>
      <c r="C792" t="s">
        <v>5</v>
      </c>
    </row>
    <row r="793" spans="1:8" x14ac:dyDescent="0.25">
      <c r="A793" t="str" cm="1">
        <f t="array" aca="1" ref="A793" ca="1">"aK_SL_3_" &amp; INDIRECT("F" &amp; ROW(C793) - 16) &amp; "_p"</f>
        <v>aK_SL_3_6_2_p</v>
      </c>
      <c r="B793">
        <v>2</v>
      </c>
      <c r="C793" t="s">
        <v>6</v>
      </c>
    </row>
    <row r="794" spans="1:8" x14ac:dyDescent="0.25">
      <c r="A794" s="5" t="s">
        <v>95</v>
      </c>
    </row>
    <row r="795" spans="1:8" x14ac:dyDescent="0.25">
      <c r="A795" t="str" cm="1">
        <f t="array" aca="1" ref="A795" ca="1">"aK_DRO_1_" &amp; INDIRECT("F" &amp; ROW(C795) - 18) &amp; "_p"</f>
        <v>aK_DRO_1_6_2_p</v>
      </c>
      <c r="B795">
        <v>0</v>
      </c>
      <c r="C795" t="s">
        <v>4</v>
      </c>
    </row>
    <row r="796" spans="1:8" x14ac:dyDescent="0.25">
      <c r="A796" t="str" cm="1">
        <f t="array" aca="1" ref="A796" ca="1">"aK_DRO_2_" &amp; INDIRECT("F" &amp; ROW(C796) - 19) &amp; "_p"</f>
        <v>aK_DRO_2_6_2_p</v>
      </c>
      <c r="B796">
        <v>0</v>
      </c>
      <c r="C796" t="s">
        <v>5</v>
      </c>
    </row>
    <row r="797" spans="1:8" x14ac:dyDescent="0.25">
      <c r="A797" t="str" cm="1">
        <f t="array" aca="1" ref="A797" ca="1">"aK_DRO_3_" &amp; INDIRECT("F" &amp; ROW(C797) - 20) &amp; "_p"</f>
        <v>aK_DRO_3_6_2_p</v>
      </c>
      <c r="B797">
        <v>2</v>
      </c>
      <c r="C797" t="s">
        <v>6</v>
      </c>
    </row>
    <row r="798" spans="1:8" x14ac:dyDescent="0.25">
      <c r="A798" s="5" t="s">
        <v>96</v>
      </c>
    </row>
    <row r="799" spans="1:8" x14ac:dyDescent="0.25">
      <c r="A799" t="str" cm="1">
        <f t="array" aca="1" ref="A799" ca="1">"aK_CYC_1_" &amp; INDIRECT("F" &amp; ROW(C799) - 22) &amp; "_p"</f>
        <v>aK_CYC_1_6_2_p</v>
      </c>
      <c r="B799">
        <v>0.1</v>
      </c>
      <c r="C799" t="s">
        <v>4</v>
      </c>
    </row>
    <row r="800" spans="1:8" x14ac:dyDescent="0.25">
      <c r="A800" t="str" cm="1">
        <f t="array" aca="1" ref="A800" ca="1">"aK_CYC_2_" &amp; INDIRECT("F" &amp; ROW(C800) - 23) &amp; "_p"</f>
        <v>aK_CYC_2_6_2_p</v>
      </c>
      <c r="B800">
        <v>0</v>
      </c>
      <c r="C800" t="s">
        <v>5</v>
      </c>
    </row>
    <row r="801" spans="1:8" x14ac:dyDescent="0.25">
      <c r="A801" t="str" cm="1">
        <f t="array" aca="1" ref="A801" ca="1">"aK_CYC_3_" &amp; INDIRECT("F" &amp; ROW(C801) - 24) &amp; "_p"</f>
        <v>aK_CYC_3_6_2_p</v>
      </c>
      <c r="B801">
        <v>2</v>
      </c>
      <c r="C801" t="s">
        <v>6</v>
      </c>
    </row>
    <row r="802" spans="1:8" x14ac:dyDescent="0.25">
      <c r="A802" s="31" t="s">
        <v>135</v>
      </c>
      <c r="B802" s="31"/>
      <c r="C802" s="31"/>
      <c r="D802" s="25">
        <v>6</v>
      </c>
      <c r="E802" s="25">
        <v>3</v>
      </c>
      <c r="F802" s="25" t="s">
        <v>178</v>
      </c>
    </row>
    <row r="803" spans="1:8" x14ac:dyDescent="0.25">
      <c r="A803" s="5" t="s">
        <v>3</v>
      </c>
    </row>
    <row r="804" spans="1:8" x14ac:dyDescent="0.25">
      <c r="A804" t="str" cm="1">
        <f t="array" aca="1" ref="A804" ca="1">"aK_T_1_" &amp; INDIRECT("F" &amp; ROW(C804)-2) &amp; "_p"</f>
        <v>aK_T_1_6_3_p</v>
      </c>
      <c r="B804">
        <v>0</v>
      </c>
      <c r="C804" t="s">
        <v>4</v>
      </c>
    </row>
    <row r="805" spans="1:8" x14ac:dyDescent="0.25">
      <c r="A805" t="str" cm="1">
        <f t="array" aca="1" ref="A805" ca="1">"aK_T_2_" &amp; INDIRECT("F" &amp; ROW(C805)-3) &amp; "_p"</f>
        <v>aK_T_2_6_3_p</v>
      </c>
      <c r="B805">
        <v>0</v>
      </c>
      <c r="C805" t="s">
        <v>5</v>
      </c>
    </row>
    <row r="806" spans="1:8" x14ac:dyDescent="0.25">
      <c r="A806" t="str" cm="1">
        <f t="array" aca="1" ref="A806" ca="1">"aK_T_3_" &amp; INDIRECT("F" &amp; ROW(C806)-4) &amp; "_p"</f>
        <v>aK_T_3_6_3_p</v>
      </c>
      <c r="B806">
        <v>2</v>
      </c>
      <c r="C806" t="s">
        <v>6</v>
      </c>
    </row>
    <row r="807" spans="1:8" x14ac:dyDescent="0.25">
      <c r="A807" s="5" t="s">
        <v>8</v>
      </c>
    </row>
    <row r="808" spans="1:8" x14ac:dyDescent="0.25">
      <c r="A808" t="str" cm="1">
        <f t="array" aca="1" ref="A808" ca="1">"aK_WS_1_" &amp; INDIRECT("F" &amp; ROW(C808)-6) &amp; "_p"</f>
        <v>aK_WS_1_6_3_p</v>
      </c>
      <c r="B808">
        <v>0</v>
      </c>
      <c r="C808" t="s">
        <v>4</v>
      </c>
    </row>
    <row r="809" spans="1:8" x14ac:dyDescent="0.25">
      <c r="A809" t="str" cm="1">
        <f t="array" aca="1" ref="A809" ca="1">"aK_WS_2_" &amp; INDIRECT("F" &amp; ROW(C809)-7) &amp; "_p"</f>
        <v>aK_WS_2_6_3_p</v>
      </c>
      <c r="B809">
        <v>0</v>
      </c>
      <c r="C809" t="s">
        <v>5</v>
      </c>
    </row>
    <row r="810" spans="1:8" x14ac:dyDescent="0.25">
      <c r="A810" t="str" cm="1">
        <f t="array" aca="1" ref="A810" ca="1">"aK_WS_3_" &amp; INDIRECT("F" &amp; ROW(C810)-8) &amp; "_p"</f>
        <v>aK_WS_3_6_3_p</v>
      </c>
      <c r="B810">
        <v>2</v>
      </c>
      <c r="C810" t="s">
        <v>6</v>
      </c>
    </row>
    <row r="811" spans="1:8" x14ac:dyDescent="0.25">
      <c r="A811" s="5" t="s">
        <v>7</v>
      </c>
      <c r="G811" s="5"/>
      <c r="H811" s="5"/>
    </row>
    <row r="812" spans="1:8" x14ac:dyDescent="0.25">
      <c r="A812" t="str" cm="1">
        <f t="array" aca="1" ref="A812" ca="1">"aK_PREC_1_" &amp; INDIRECT("F" &amp; ROW(C812) - 10) &amp; "_p"</f>
        <v>aK_PREC_1_6_3_p</v>
      </c>
      <c r="B812">
        <v>0</v>
      </c>
      <c r="C812" t="s">
        <v>4</v>
      </c>
      <c r="F812" s="5"/>
    </row>
    <row r="813" spans="1:8" x14ac:dyDescent="0.25">
      <c r="A813" t="str" cm="1">
        <f t="array" aca="1" ref="A813" ca="1">"aK_PREC_2_" &amp; INDIRECT("F" &amp; ROW(C813) - 11) &amp; "_p"</f>
        <v>aK_PREC_2_6_3_p</v>
      </c>
      <c r="B813">
        <v>0</v>
      </c>
      <c r="C813" t="s">
        <v>5</v>
      </c>
    </row>
    <row r="814" spans="1:8" x14ac:dyDescent="0.25">
      <c r="A814" t="str" cm="1">
        <f t="array" aca="1" ref="A814" ca="1">"aK_PREC_3_" &amp; INDIRECT("F" &amp; ROW(C814) - 12) &amp; "_p"</f>
        <v>aK_PREC_3_6_3_p</v>
      </c>
      <c r="B814">
        <v>2</v>
      </c>
      <c r="C814" t="s">
        <v>6</v>
      </c>
    </row>
    <row r="815" spans="1:8" x14ac:dyDescent="0.25">
      <c r="A815" s="5" t="s">
        <v>9</v>
      </c>
      <c r="G815" s="5"/>
      <c r="H815" s="5"/>
    </row>
    <row r="816" spans="1:8" x14ac:dyDescent="0.25">
      <c r="A816" t="str" cm="1">
        <f t="array" aca="1" ref="A816" ca="1">"aK_SL_1_" &amp; INDIRECT("F" &amp; ROW(C816) - 14) &amp; "_p"</f>
        <v>aK_SL_1_6_3_p</v>
      </c>
      <c r="B816">
        <v>0</v>
      </c>
      <c r="C816" t="s">
        <v>4</v>
      </c>
      <c r="F816" s="5"/>
    </row>
    <row r="817" spans="1:6" x14ac:dyDescent="0.25">
      <c r="A817" t="str" cm="1">
        <f t="array" aca="1" ref="A817" ca="1">"aK_SL_2_" &amp; INDIRECT("F" &amp; ROW(C817) - 15) &amp; "_p"</f>
        <v>aK_SL_2_6_3_p</v>
      </c>
      <c r="B817">
        <v>0</v>
      </c>
      <c r="C817" t="s">
        <v>5</v>
      </c>
    </row>
    <row r="818" spans="1:6" x14ac:dyDescent="0.25">
      <c r="A818" t="str" cm="1">
        <f t="array" aca="1" ref="A818" ca="1">"aK_SL_3_" &amp; INDIRECT("F" &amp; ROW(C818) - 16) &amp; "_p"</f>
        <v>aK_SL_3_6_3_p</v>
      </c>
      <c r="B818">
        <v>2</v>
      </c>
      <c r="C818" t="s">
        <v>6</v>
      </c>
    </row>
    <row r="819" spans="1:6" x14ac:dyDescent="0.25">
      <c r="A819" s="5" t="s">
        <v>95</v>
      </c>
    </row>
    <row r="820" spans="1:6" x14ac:dyDescent="0.25">
      <c r="A820" t="str" cm="1">
        <f t="array" aca="1" ref="A820" ca="1">"aK_DRO_1_" &amp; INDIRECT("F" &amp; ROW(C820) - 18) &amp; "_p"</f>
        <v>aK_DRO_1_6_3_p</v>
      </c>
      <c r="B820">
        <v>0</v>
      </c>
      <c r="C820" t="s">
        <v>4</v>
      </c>
    </row>
    <row r="821" spans="1:6" x14ac:dyDescent="0.25">
      <c r="A821" t="str" cm="1">
        <f t="array" aca="1" ref="A821" ca="1">"aK_DRO_2_" &amp; INDIRECT("F" &amp; ROW(C821) - 19) &amp; "_p"</f>
        <v>aK_DRO_2_6_3_p</v>
      </c>
      <c r="B821">
        <v>0</v>
      </c>
      <c r="C821" t="s">
        <v>5</v>
      </c>
    </row>
    <row r="822" spans="1:6" x14ac:dyDescent="0.25">
      <c r="A822" t="str" cm="1">
        <f t="array" aca="1" ref="A822" ca="1">"aK_DRO_3_" &amp; INDIRECT("F" &amp; ROW(C822) - 20) &amp; "_p"</f>
        <v>aK_DRO_3_6_3_p</v>
      </c>
      <c r="B822">
        <v>2</v>
      </c>
      <c r="C822" t="s">
        <v>6</v>
      </c>
    </row>
    <row r="823" spans="1:6" x14ac:dyDescent="0.25">
      <c r="A823" s="5" t="s">
        <v>96</v>
      </c>
    </row>
    <row r="824" spans="1:6" x14ac:dyDescent="0.25">
      <c r="A824" t="str" cm="1">
        <f t="array" aca="1" ref="A824" ca="1">"aK_CYC_1_" &amp; INDIRECT("F" &amp; ROW(C824) - 22) &amp; "_p"</f>
        <v>aK_CYC_1_6_3_p</v>
      </c>
      <c r="B824">
        <v>0.1</v>
      </c>
      <c r="C824" t="s">
        <v>4</v>
      </c>
    </row>
    <row r="825" spans="1:6" x14ac:dyDescent="0.25">
      <c r="A825" t="str" cm="1">
        <f t="array" aca="1" ref="A825" ca="1">"aK_CYC_2_" &amp; INDIRECT("F" &amp; ROW(C825) - 23) &amp; "_p"</f>
        <v>aK_CYC_2_6_3_p</v>
      </c>
      <c r="B825">
        <v>0</v>
      </c>
      <c r="C825" t="s">
        <v>5</v>
      </c>
    </row>
    <row r="826" spans="1:6" x14ac:dyDescent="0.25">
      <c r="A826" t="str" cm="1">
        <f t="array" aca="1" ref="A826" ca="1">"aK_CYC_3_" &amp; INDIRECT("F" &amp; ROW(C826) - 24) &amp; "_p"</f>
        <v>aK_CYC_3_6_3_p</v>
      </c>
      <c r="B826">
        <v>2</v>
      </c>
      <c r="C826" t="s">
        <v>6</v>
      </c>
    </row>
    <row r="827" spans="1:6" x14ac:dyDescent="0.25">
      <c r="A827" s="31" t="s">
        <v>136</v>
      </c>
      <c r="B827" s="31"/>
      <c r="C827" s="31"/>
      <c r="D827" s="25">
        <v>6</v>
      </c>
      <c r="E827" s="25">
        <v>4</v>
      </c>
      <c r="F827" s="25" t="s">
        <v>177</v>
      </c>
    </row>
    <row r="828" spans="1:6" x14ac:dyDescent="0.25">
      <c r="A828" s="5" t="s">
        <v>3</v>
      </c>
    </row>
    <row r="829" spans="1:6" x14ac:dyDescent="0.25">
      <c r="A829" t="str" cm="1">
        <f t="array" aca="1" ref="A829" ca="1">"aK_T_1_" &amp; INDIRECT("F" &amp; ROW(C829)-2) &amp; "_p"</f>
        <v>aK_T_1_6_4_p</v>
      </c>
      <c r="B829">
        <v>0</v>
      </c>
      <c r="C829" t="s">
        <v>4</v>
      </c>
    </row>
    <row r="830" spans="1:6" x14ac:dyDescent="0.25">
      <c r="A830" t="str" cm="1">
        <f t="array" aca="1" ref="A830" ca="1">"aK_T_2_" &amp; INDIRECT("F" &amp; ROW(C830)-3) &amp; "_p"</f>
        <v>aK_T_2_6_4_p</v>
      </c>
      <c r="B830">
        <v>0</v>
      </c>
      <c r="C830" t="s">
        <v>5</v>
      </c>
    </row>
    <row r="831" spans="1:6" x14ac:dyDescent="0.25">
      <c r="A831" t="str" cm="1">
        <f t="array" aca="1" ref="A831" ca="1">"aK_T_3_" &amp; INDIRECT("F" &amp; ROW(C831)-4) &amp; "_p"</f>
        <v>aK_T_3_6_4_p</v>
      </c>
      <c r="B831">
        <v>2</v>
      </c>
      <c r="C831" t="s">
        <v>6</v>
      </c>
    </row>
    <row r="832" spans="1:6" x14ac:dyDescent="0.25">
      <c r="A832" s="5" t="s">
        <v>8</v>
      </c>
    </row>
    <row r="833" spans="1:8" x14ac:dyDescent="0.25">
      <c r="A833" t="str" cm="1">
        <f t="array" aca="1" ref="A833" ca="1">"aK_WS_1_" &amp; INDIRECT("F" &amp; ROW(C833)-6) &amp; "_p"</f>
        <v>aK_WS_1_6_4_p</v>
      </c>
      <c r="B833">
        <v>0</v>
      </c>
      <c r="C833" t="s">
        <v>4</v>
      </c>
    </row>
    <row r="834" spans="1:8" x14ac:dyDescent="0.25">
      <c r="A834" t="str" cm="1">
        <f t="array" aca="1" ref="A834" ca="1">"aK_WS_2_" &amp; INDIRECT("F" &amp; ROW(C834)-7) &amp; "_p"</f>
        <v>aK_WS_2_6_4_p</v>
      </c>
      <c r="B834">
        <v>0</v>
      </c>
      <c r="C834" t="s">
        <v>5</v>
      </c>
    </row>
    <row r="835" spans="1:8" x14ac:dyDescent="0.25">
      <c r="A835" t="str" cm="1">
        <f t="array" aca="1" ref="A835" ca="1">"aK_WS_3_" &amp; INDIRECT("F" &amp; ROW(C835)-8) &amp; "_p"</f>
        <v>aK_WS_3_6_4_p</v>
      </c>
      <c r="B835">
        <v>2</v>
      </c>
      <c r="C835" t="s">
        <v>6</v>
      </c>
    </row>
    <row r="836" spans="1:8" x14ac:dyDescent="0.25">
      <c r="A836" s="5" t="s">
        <v>7</v>
      </c>
      <c r="G836" s="5"/>
      <c r="H836" s="5"/>
    </row>
    <row r="837" spans="1:8" x14ac:dyDescent="0.25">
      <c r="A837" t="str" cm="1">
        <f t="array" aca="1" ref="A837" ca="1">"aK_PREC_1_" &amp; INDIRECT("F" &amp; ROW(C837) - 10) &amp; "_p"</f>
        <v>aK_PREC_1_6_4_p</v>
      </c>
      <c r="B837">
        <v>0</v>
      </c>
      <c r="C837" t="s">
        <v>4</v>
      </c>
      <c r="F837" s="5"/>
    </row>
    <row r="838" spans="1:8" x14ac:dyDescent="0.25">
      <c r="A838" t="str" cm="1">
        <f t="array" aca="1" ref="A838" ca="1">"aK_PREC_2_" &amp; INDIRECT("F" &amp; ROW(C838) - 11) &amp; "_p"</f>
        <v>aK_PREC_2_6_4_p</v>
      </c>
      <c r="B838">
        <v>0</v>
      </c>
      <c r="C838" t="s">
        <v>5</v>
      </c>
    </row>
    <row r="839" spans="1:8" x14ac:dyDescent="0.25">
      <c r="A839" t="str" cm="1">
        <f t="array" aca="1" ref="A839" ca="1">"aK_PREC_3_" &amp; INDIRECT("F" &amp; ROW(C839) - 12) &amp; "_p"</f>
        <v>aK_PREC_3_6_4_p</v>
      </c>
      <c r="B839">
        <v>2</v>
      </c>
      <c r="C839" t="s">
        <v>6</v>
      </c>
    </row>
    <row r="840" spans="1:8" x14ac:dyDescent="0.25">
      <c r="A840" s="5" t="s">
        <v>9</v>
      </c>
      <c r="G840" s="5"/>
      <c r="H840" s="5"/>
    </row>
    <row r="841" spans="1:8" x14ac:dyDescent="0.25">
      <c r="A841" t="str" cm="1">
        <f t="array" aca="1" ref="A841" ca="1">"aK_SL_1_" &amp; INDIRECT("F" &amp; ROW(C841) - 14) &amp; "_p"</f>
        <v>aK_SL_1_6_4_p</v>
      </c>
      <c r="B841">
        <v>0</v>
      </c>
      <c r="C841" t="s">
        <v>4</v>
      </c>
      <c r="F841" s="5"/>
    </row>
    <row r="842" spans="1:8" x14ac:dyDescent="0.25">
      <c r="A842" t="str" cm="1">
        <f t="array" aca="1" ref="A842" ca="1">"aK_SL_2_" &amp; INDIRECT("F" &amp; ROW(C842) - 15) &amp; "_p"</f>
        <v>aK_SL_2_6_4_p</v>
      </c>
      <c r="B842">
        <v>0</v>
      </c>
      <c r="C842" t="s">
        <v>5</v>
      </c>
    </row>
    <row r="843" spans="1:8" x14ac:dyDescent="0.25">
      <c r="A843" t="str" cm="1">
        <f t="array" aca="1" ref="A843" ca="1">"aK_SL_3_" &amp; INDIRECT("F" &amp; ROW(C843) - 16) &amp; "_p"</f>
        <v>aK_SL_3_6_4_p</v>
      </c>
      <c r="B843">
        <v>2</v>
      </c>
      <c r="C843" t="s">
        <v>6</v>
      </c>
    </row>
    <row r="844" spans="1:8" x14ac:dyDescent="0.25">
      <c r="A844" s="5" t="s">
        <v>95</v>
      </c>
    </row>
    <row r="845" spans="1:8" x14ac:dyDescent="0.25">
      <c r="A845" t="str" cm="1">
        <f t="array" aca="1" ref="A845" ca="1">"aK_DRO_1_" &amp; INDIRECT("F" &amp; ROW(C845) - 18) &amp; "_p"</f>
        <v>aK_DRO_1_6_4_p</v>
      </c>
      <c r="B845">
        <v>0</v>
      </c>
      <c r="C845" t="s">
        <v>4</v>
      </c>
    </row>
    <row r="846" spans="1:8" x14ac:dyDescent="0.25">
      <c r="A846" t="str" cm="1">
        <f t="array" aca="1" ref="A846" ca="1">"aK_DRO_2_" &amp; INDIRECT("F" &amp; ROW(C846) - 19) &amp; "_p"</f>
        <v>aK_DRO_2_6_4_p</v>
      </c>
      <c r="B846">
        <v>0</v>
      </c>
      <c r="C846" t="s">
        <v>5</v>
      </c>
    </row>
    <row r="847" spans="1:8" x14ac:dyDescent="0.25">
      <c r="A847" t="str" cm="1">
        <f t="array" aca="1" ref="A847" ca="1">"aK_DRO_3_" &amp; INDIRECT("F" &amp; ROW(C847) - 20) &amp; "_p"</f>
        <v>aK_DRO_3_6_4_p</v>
      </c>
      <c r="B847">
        <v>2</v>
      </c>
      <c r="C847" t="s">
        <v>6</v>
      </c>
    </row>
    <row r="848" spans="1:8" x14ac:dyDescent="0.25">
      <c r="A848" s="5" t="s">
        <v>96</v>
      </c>
    </row>
    <row r="849" spans="1:8" x14ac:dyDescent="0.25">
      <c r="A849" t="str" cm="1">
        <f t="array" aca="1" ref="A849" ca="1">"aK_CYC_1_" &amp; INDIRECT("F" &amp; ROW(C849) - 22) &amp; "_p"</f>
        <v>aK_CYC_1_6_4_p</v>
      </c>
      <c r="B849">
        <v>0.1</v>
      </c>
      <c r="C849" t="s">
        <v>4</v>
      </c>
    </row>
    <row r="850" spans="1:8" x14ac:dyDescent="0.25">
      <c r="A850" t="str" cm="1">
        <f t="array" aca="1" ref="A850" ca="1">"aK_CYC_2_" &amp; INDIRECT("F" &amp; ROW(C850) - 23) &amp; "_p"</f>
        <v>aK_CYC_2_6_4_p</v>
      </c>
      <c r="B850">
        <v>0</v>
      </c>
      <c r="C850" t="s">
        <v>5</v>
      </c>
    </row>
    <row r="851" spans="1:8" x14ac:dyDescent="0.25">
      <c r="A851" t="str" cm="1">
        <f t="array" aca="1" ref="A851" ca="1">"aK_CYC_3_" &amp; INDIRECT("F" &amp; ROW(C851) - 24) &amp; "_p"</f>
        <v>aK_CYC_3_6_4_p</v>
      </c>
      <c r="B851">
        <v>2</v>
      </c>
      <c r="C851" t="s">
        <v>6</v>
      </c>
    </row>
    <row r="852" spans="1:8" x14ac:dyDescent="0.25">
      <c r="A852" s="31" t="s">
        <v>137</v>
      </c>
      <c r="B852" s="31"/>
      <c r="C852" s="31"/>
      <c r="D852" s="25">
        <v>6</v>
      </c>
      <c r="E852" s="25">
        <v>5</v>
      </c>
      <c r="F852" s="25" t="s">
        <v>176</v>
      </c>
    </row>
    <row r="853" spans="1:8" x14ac:dyDescent="0.25">
      <c r="A853" s="5" t="s">
        <v>3</v>
      </c>
    </row>
    <row r="854" spans="1:8" x14ac:dyDescent="0.25">
      <c r="A854" t="str" cm="1">
        <f t="array" aca="1" ref="A854" ca="1">"aK_T_1_" &amp; INDIRECT("F" &amp; ROW(C854)-2) &amp; "_p"</f>
        <v>aK_T_1_6_5_p</v>
      </c>
      <c r="B854">
        <v>0</v>
      </c>
      <c r="C854" t="s">
        <v>4</v>
      </c>
    </row>
    <row r="855" spans="1:8" x14ac:dyDescent="0.25">
      <c r="A855" t="str" cm="1">
        <f t="array" aca="1" ref="A855" ca="1">"aK_T_2_" &amp; INDIRECT("F" &amp; ROW(C855)-3) &amp; "_p"</f>
        <v>aK_T_2_6_5_p</v>
      </c>
      <c r="B855">
        <v>0</v>
      </c>
      <c r="C855" t="s">
        <v>5</v>
      </c>
    </row>
    <row r="856" spans="1:8" x14ac:dyDescent="0.25">
      <c r="A856" t="str" cm="1">
        <f t="array" aca="1" ref="A856" ca="1">"aK_T_3_" &amp; INDIRECT("F" &amp; ROW(C856)-4) &amp; "_p"</f>
        <v>aK_T_3_6_5_p</v>
      </c>
      <c r="B856">
        <v>2</v>
      </c>
      <c r="C856" t="s">
        <v>6</v>
      </c>
    </row>
    <row r="857" spans="1:8" x14ac:dyDescent="0.25">
      <c r="A857" s="5" t="s">
        <v>8</v>
      </c>
    </row>
    <row r="858" spans="1:8" x14ac:dyDescent="0.25">
      <c r="A858" t="str" cm="1">
        <f t="array" aca="1" ref="A858" ca="1">"aK_WS_1_" &amp; INDIRECT("F" &amp; ROW(C858)-6) &amp; "_p"</f>
        <v>aK_WS_1_6_5_p</v>
      </c>
      <c r="B858">
        <v>0</v>
      </c>
      <c r="C858" t="s">
        <v>4</v>
      </c>
    </row>
    <row r="859" spans="1:8" x14ac:dyDescent="0.25">
      <c r="A859" t="str" cm="1">
        <f t="array" aca="1" ref="A859" ca="1">"aK_WS_2_" &amp; INDIRECT("F" &amp; ROW(C859)-7) &amp; "_p"</f>
        <v>aK_WS_2_6_5_p</v>
      </c>
      <c r="B859">
        <v>0</v>
      </c>
      <c r="C859" t="s">
        <v>5</v>
      </c>
    </row>
    <row r="860" spans="1:8" x14ac:dyDescent="0.25">
      <c r="A860" t="str" cm="1">
        <f t="array" aca="1" ref="A860" ca="1">"aK_WS_3_" &amp; INDIRECT("F" &amp; ROW(C860)-8) &amp; "_p"</f>
        <v>aK_WS_3_6_5_p</v>
      </c>
      <c r="B860">
        <v>2</v>
      </c>
      <c r="C860" t="s">
        <v>6</v>
      </c>
    </row>
    <row r="861" spans="1:8" x14ac:dyDescent="0.25">
      <c r="A861" s="5" t="s">
        <v>7</v>
      </c>
      <c r="G861" s="5"/>
      <c r="H861" s="5"/>
    </row>
    <row r="862" spans="1:8" x14ac:dyDescent="0.25">
      <c r="A862" t="str" cm="1">
        <f t="array" aca="1" ref="A862" ca="1">"aK_PREC_1_" &amp; INDIRECT("F" &amp; ROW(C862) - 10) &amp; "_p"</f>
        <v>aK_PREC_1_6_5_p</v>
      </c>
      <c r="B862">
        <v>0</v>
      </c>
      <c r="C862" t="s">
        <v>4</v>
      </c>
      <c r="F862" s="5"/>
    </row>
    <row r="863" spans="1:8" x14ac:dyDescent="0.25">
      <c r="A863" t="str" cm="1">
        <f t="array" aca="1" ref="A863" ca="1">"aK_PREC_2_" &amp; INDIRECT("F" &amp; ROW(C863) - 11) &amp; "_p"</f>
        <v>aK_PREC_2_6_5_p</v>
      </c>
      <c r="B863">
        <v>0</v>
      </c>
      <c r="C863" t="s">
        <v>5</v>
      </c>
    </row>
    <row r="864" spans="1:8" x14ac:dyDescent="0.25">
      <c r="A864" t="str" cm="1">
        <f t="array" aca="1" ref="A864" ca="1">"aK_PREC_3_" &amp; INDIRECT("F" &amp; ROW(C864) - 12) &amp; "_p"</f>
        <v>aK_PREC_3_6_5_p</v>
      </c>
      <c r="B864">
        <v>2</v>
      </c>
      <c r="C864" t="s">
        <v>6</v>
      </c>
    </row>
    <row r="865" spans="1:8" x14ac:dyDescent="0.25">
      <c r="A865" s="5" t="s">
        <v>9</v>
      </c>
      <c r="G865" s="5"/>
      <c r="H865" s="5"/>
    </row>
    <row r="866" spans="1:8" x14ac:dyDescent="0.25">
      <c r="A866" t="str" cm="1">
        <f t="array" aca="1" ref="A866" ca="1">"aK_SL_1_" &amp; INDIRECT("F" &amp; ROW(C866) - 14) &amp; "_p"</f>
        <v>aK_SL_1_6_5_p</v>
      </c>
      <c r="B866">
        <v>0</v>
      </c>
      <c r="C866" t="s">
        <v>4</v>
      </c>
      <c r="F866" s="5"/>
    </row>
    <row r="867" spans="1:8" x14ac:dyDescent="0.25">
      <c r="A867" t="str" cm="1">
        <f t="array" aca="1" ref="A867" ca="1">"aK_SL_2_" &amp; INDIRECT("F" &amp; ROW(C867) - 15) &amp; "_p"</f>
        <v>aK_SL_2_6_5_p</v>
      </c>
      <c r="B867">
        <v>0</v>
      </c>
      <c r="C867" t="s">
        <v>5</v>
      </c>
    </row>
    <row r="868" spans="1:8" x14ac:dyDescent="0.25">
      <c r="A868" t="str" cm="1">
        <f t="array" aca="1" ref="A868" ca="1">"aK_SL_3_" &amp; INDIRECT("F" &amp; ROW(C868) - 16) &amp; "_p"</f>
        <v>aK_SL_3_6_5_p</v>
      </c>
      <c r="B868">
        <v>2</v>
      </c>
      <c r="C868" t="s">
        <v>6</v>
      </c>
    </row>
    <row r="869" spans="1:8" x14ac:dyDescent="0.25">
      <c r="A869" s="5" t="s">
        <v>95</v>
      </c>
    </row>
    <row r="870" spans="1:8" x14ac:dyDescent="0.25">
      <c r="A870" t="str" cm="1">
        <f t="array" aca="1" ref="A870" ca="1">"aK_DRO_1_" &amp; INDIRECT("F" &amp; ROW(C870) - 18) &amp; "_p"</f>
        <v>aK_DRO_1_6_5_p</v>
      </c>
      <c r="B870">
        <v>0</v>
      </c>
      <c r="C870" t="s">
        <v>4</v>
      </c>
    </row>
    <row r="871" spans="1:8" x14ac:dyDescent="0.25">
      <c r="A871" t="str" cm="1">
        <f t="array" aca="1" ref="A871" ca="1">"aK_DRO_2_" &amp; INDIRECT("F" &amp; ROW(C871) - 19) &amp; "_p"</f>
        <v>aK_DRO_2_6_5_p</v>
      </c>
      <c r="B871">
        <v>0</v>
      </c>
      <c r="C871" t="s">
        <v>5</v>
      </c>
    </row>
    <row r="872" spans="1:8" x14ac:dyDescent="0.25">
      <c r="A872" t="str" cm="1">
        <f t="array" aca="1" ref="A872" ca="1">"aK_DRO_3_" &amp; INDIRECT("F" &amp; ROW(C872) - 20) &amp; "_p"</f>
        <v>aK_DRO_3_6_5_p</v>
      </c>
      <c r="B872">
        <v>2</v>
      </c>
      <c r="C872" t="s">
        <v>6</v>
      </c>
    </row>
    <row r="873" spans="1:8" x14ac:dyDescent="0.25">
      <c r="A873" s="5" t="s">
        <v>96</v>
      </c>
    </row>
    <row r="874" spans="1:8" x14ac:dyDescent="0.25">
      <c r="A874" t="str" cm="1">
        <f t="array" aca="1" ref="A874" ca="1">"aK_CYC_1_" &amp; INDIRECT("F" &amp; ROW(C874) - 22) &amp; "_p"</f>
        <v>aK_CYC_1_6_5_p</v>
      </c>
      <c r="B874">
        <v>0.1</v>
      </c>
      <c r="C874" t="s">
        <v>4</v>
      </c>
    </row>
    <row r="875" spans="1:8" x14ac:dyDescent="0.25">
      <c r="A875" t="str" cm="1">
        <f t="array" aca="1" ref="A875" ca="1">"aK_CYC_2_" &amp; INDIRECT("F" &amp; ROW(C875) - 23) &amp; "_p"</f>
        <v>aK_CYC_2_6_5_p</v>
      </c>
      <c r="B875">
        <v>0</v>
      </c>
      <c r="C875" t="s">
        <v>5</v>
      </c>
    </row>
    <row r="876" spans="1:8" x14ac:dyDescent="0.25">
      <c r="A876" t="str" cm="1">
        <f t="array" aca="1" ref="A876" ca="1">"aK_CYC_3_" &amp; INDIRECT("F" &amp; ROW(C876) - 24) &amp; "_p"</f>
        <v>aK_CYC_3_6_5_p</v>
      </c>
      <c r="B876">
        <v>2</v>
      </c>
      <c r="C876" t="s">
        <v>6</v>
      </c>
    </row>
    <row r="877" spans="1:8" x14ac:dyDescent="0.25">
      <c r="A877" s="31" t="s">
        <v>138</v>
      </c>
      <c r="B877" s="31"/>
      <c r="C877" s="31"/>
      <c r="D877" s="25">
        <v>6</v>
      </c>
      <c r="E877" s="25">
        <v>6</v>
      </c>
      <c r="F877" s="25" t="s">
        <v>175</v>
      </c>
    </row>
    <row r="878" spans="1:8" x14ac:dyDescent="0.25">
      <c r="A878" s="5" t="s">
        <v>3</v>
      </c>
    </row>
    <row r="879" spans="1:8" x14ac:dyDescent="0.25">
      <c r="A879" t="str" cm="1">
        <f t="array" aca="1" ref="A879" ca="1">"aK_T_1_" &amp; INDIRECT("F" &amp; ROW(C879)-2) &amp; "_p"</f>
        <v>aK_T_1_6_6_p</v>
      </c>
      <c r="B879">
        <v>0</v>
      </c>
      <c r="C879" t="s">
        <v>4</v>
      </c>
    </row>
    <row r="880" spans="1:8" x14ac:dyDescent="0.25">
      <c r="A880" t="str" cm="1">
        <f t="array" aca="1" ref="A880" ca="1">"aK_T_2_" &amp; INDIRECT("F" &amp; ROW(C880)-3) &amp; "_p"</f>
        <v>aK_T_2_6_6_p</v>
      </c>
      <c r="B880">
        <v>0</v>
      </c>
      <c r="C880" t="s">
        <v>5</v>
      </c>
    </row>
    <row r="881" spans="1:8" x14ac:dyDescent="0.25">
      <c r="A881" t="str" cm="1">
        <f t="array" aca="1" ref="A881" ca="1">"aK_T_3_" &amp; INDIRECT("F" &amp; ROW(C881)-4) &amp; "_p"</f>
        <v>aK_T_3_6_6_p</v>
      </c>
      <c r="B881">
        <v>2</v>
      </c>
      <c r="C881" t="s">
        <v>6</v>
      </c>
    </row>
    <row r="882" spans="1:8" x14ac:dyDescent="0.25">
      <c r="A882" s="5" t="s">
        <v>8</v>
      </c>
    </row>
    <row r="883" spans="1:8" x14ac:dyDescent="0.25">
      <c r="A883" t="str" cm="1">
        <f t="array" aca="1" ref="A883" ca="1">"aK_WS_1_" &amp; INDIRECT("F" &amp; ROW(C883)-6) &amp; "_p"</f>
        <v>aK_WS_1_6_6_p</v>
      </c>
      <c r="B883">
        <v>0</v>
      </c>
      <c r="C883" t="s">
        <v>4</v>
      </c>
    </row>
    <row r="884" spans="1:8" x14ac:dyDescent="0.25">
      <c r="A884" t="str" cm="1">
        <f t="array" aca="1" ref="A884" ca="1">"aK_WS_2_" &amp; INDIRECT("F" &amp; ROW(C884)-7) &amp; "_p"</f>
        <v>aK_WS_2_6_6_p</v>
      </c>
      <c r="B884">
        <v>0</v>
      </c>
      <c r="C884" t="s">
        <v>5</v>
      </c>
    </row>
    <row r="885" spans="1:8" x14ac:dyDescent="0.25">
      <c r="A885" t="str" cm="1">
        <f t="array" aca="1" ref="A885" ca="1">"aK_WS_3_" &amp; INDIRECT("F" &amp; ROW(C885)-8) &amp; "_p"</f>
        <v>aK_WS_3_6_6_p</v>
      </c>
      <c r="B885">
        <v>2</v>
      </c>
      <c r="C885" t="s">
        <v>6</v>
      </c>
    </row>
    <row r="886" spans="1:8" x14ac:dyDescent="0.25">
      <c r="A886" s="5" t="s">
        <v>7</v>
      </c>
      <c r="G886" s="5"/>
      <c r="H886" s="5"/>
    </row>
    <row r="887" spans="1:8" x14ac:dyDescent="0.25">
      <c r="A887" t="str" cm="1">
        <f t="array" aca="1" ref="A887" ca="1">"aK_PREC_1_" &amp; INDIRECT("F" &amp; ROW(C887) - 10) &amp; "_p"</f>
        <v>aK_PREC_1_6_6_p</v>
      </c>
      <c r="B887">
        <v>0</v>
      </c>
      <c r="C887" t="s">
        <v>4</v>
      </c>
      <c r="F887" s="5"/>
    </row>
    <row r="888" spans="1:8" x14ac:dyDescent="0.25">
      <c r="A888" t="str" cm="1">
        <f t="array" aca="1" ref="A888" ca="1">"aK_PREC_2_" &amp; INDIRECT("F" &amp; ROW(C888) - 11) &amp; "_p"</f>
        <v>aK_PREC_2_6_6_p</v>
      </c>
      <c r="B888">
        <v>0</v>
      </c>
      <c r="C888" t="s">
        <v>5</v>
      </c>
    </row>
    <row r="889" spans="1:8" x14ac:dyDescent="0.25">
      <c r="A889" t="str" cm="1">
        <f t="array" aca="1" ref="A889" ca="1">"aK_PREC_3_" &amp; INDIRECT("F" &amp; ROW(C889) - 12) &amp; "_p"</f>
        <v>aK_PREC_3_6_6_p</v>
      </c>
      <c r="B889">
        <v>2</v>
      </c>
      <c r="C889" t="s">
        <v>6</v>
      </c>
    </row>
    <row r="890" spans="1:8" x14ac:dyDescent="0.25">
      <c r="A890" s="5" t="s">
        <v>9</v>
      </c>
      <c r="G890" s="5"/>
      <c r="H890" s="5"/>
    </row>
    <row r="891" spans="1:8" x14ac:dyDescent="0.25">
      <c r="A891" t="str" cm="1">
        <f t="array" aca="1" ref="A891" ca="1">"aK_SL_1_" &amp; INDIRECT("F" &amp; ROW(C891) - 14) &amp; "_p"</f>
        <v>aK_SL_1_6_6_p</v>
      </c>
      <c r="B891">
        <v>0</v>
      </c>
      <c r="C891" t="s">
        <v>4</v>
      </c>
      <c r="F891" s="5"/>
    </row>
    <row r="892" spans="1:8" x14ac:dyDescent="0.25">
      <c r="A892" t="str" cm="1">
        <f t="array" aca="1" ref="A892" ca="1">"aK_SL_2_" &amp; INDIRECT("F" &amp; ROW(C892) - 15) &amp; "_p"</f>
        <v>aK_SL_2_6_6_p</v>
      </c>
      <c r="B892">
        <v>0</v>
      </c>
      <c r="C892" t="s">
        <v>5</v>
      </c>
    </row>
    <row r="893" spans="1:8" x14ac:dyDescent="0.25">
      <c r="A893" t="str" cm="1">
        <f t="array" aca="1" ref="A893" ca="1">"aK_SL_3_" &amp; INDIRECT("F" &amp; ROW(C893) - 16) &amp; "_p"</f>
        <v>aK_SL_3_6_6_p</v>
      </c>
      <c r="B893">
        <v>2</v>
      </c>
      <c r="C893" t="s">
        <v>6</v>
      </c>
    </row>
    <row r="894" spans="1:8" x14ac:dyDescent="0.25">
      <c r="A894" s="5" t="s">
        <v>95</v>
      </c>
    </row>
    <row r="895" spans="1:8" x14ac:dyDescent="0.25">
      <c r="A895" t="str" cm="1">
        <f t="array" aca="1" ref="A895" ca="1">"aK_DRO_1_" &amp; INDIRECT("F" &amp; ROW(C895) - 18) &amp; "_p"</f>
        <v>aK_DRO_1_6_6_p</v>
      </c>
      <c r="B895">
        <v>0</v>
      </c>
      <c r="C895" t="s">
        <v>4</v>
      </c>
    </row>
    <row r="896" spans="1:8" x14ac:dyDescent="0.25">
      <c r="A896" t="str" cm="1">
        <f t="array" aca="1" ref="A896" ca="1">"aK_DRO_2_" &amp; INDIRECT("F" &amp; ROW(C896) - 19) &amp; "_p"</f>
        <v>aK_DRO_2_6_6_p</v>
      </c>
      <c r="B896">
        <v>0</v>
      </c>
      <c r="C896" t="s">
        <v>5</v>
      </c>
    </row>
    <row r="897" spans="1:8" x14ac:dyDescent="0.25">
      <c r="A897" t="str" cm="1">
        <f t="array" aca="1" ref="A897" ca="1">"aK_DRO_3_" &amp; INDIRECT("F" &amp; ROW(C897) - 20) &amp; "_p"</f>
        <v>aK_DRO_3_6_6_p</v>
      </c>
      <c r="B897">
        <v>2</v>
      </c>
      <c r="C897" t="s">
        <v>6</v>
      </c>
    </row>
    <row r="898" spans="1:8" x14ac:dyDescent="0.25">
      <c r="A898" s="5" t="s">
        <v>96</v>
      </c>
    </row>
    <row r="899" spans="1:8" x14ac:dyDescent="0.25">
      <c r="A899" t="str" cm="1">
        <f t="array" aca="1" ref="A899" ca="1">"aK_CYC_1_" &amp; INDIRECT("F" &amp; ROW(C899) - 22) &amp; "_p"</f>
        <v>aK_CYC_1_6_6_p</v>
      </c>
      <c r="B899">
        <v>0.1</v>
      </c>
      <c r="C899" t="s">
        <v>4</v>
      </c>
    </row>
    <row r="900" spans="1:8" x14ac:dyDescent="0.25">
      <c r="A900" t="str" cm="1">
        <f t="array" aca="1" ref="A900" ca="1">"aK_CYC_2_" &amp; INDIRECT("F" &amp; ROW(C900) - 23) &amp; "_p"</f>
        <v>aK_CYC_2_6_6_p</v>
      </c>
      <c r="B900">
        <v>0</v>
      </c>
      <c r="C900" t="s">
        <v>5</v>
      </c>
    </row>
    <row r="901" spans="1:8" x14ac:dyDescent="0.25">
      <c r="A901" t="str" cm="1">
        <f t="array" aca="1" ref="A901" ca="1">"aK_CYC_3_" &amp; INDIRECT("F" &amp; ROW(C901) - 24) &amp; "_p"</f>
        <v>aK_CYC_3_6_6_p</v>
      </c>
      <c r="B901">
        <v>2</v>
      </c>
      <c r="C901" t="s">
        <v>6</v>
      </c>
    </row>
    <row r="902" spans="1:8" x14ac:dyDescent="0.25">
      <c r="A902" s="31" t="s">
        <v>139</v>
      </c>
      <c r="B902" s="31"/>
      <c r="C902" s="31"/>
      <c r="D902" s="25">
        <v>7</v>
      </c>
      <c r="E902" s="25">
        <v>1</v>
      </c>
      <c r="F902" s="25" t="s">
        <v>174</v>
      </c>
    </row>
    <row r="903" spans="1:8" x14ac:dyDescent="0.25">
      <c r="A903" s="5" t="s">
        <v>3</v>
      </c>
    </row>
    <row r="904" spans="1:8" x14ac:dyDescent="0.25">
      <c r="A904" t="str" cm="1">
        <f t="array" aca="1" ref="A904" ca="1">"aK_T_1_" &amp; INDIRECT("F" &amp; ROW(C904)-2) &amp; "_p"</f>
        <v>aK_T_1_7_1_p</v>
      </c>
      <c r="B904">
        <v>0</v>
      </c>
      <c r="C904" t="s">
        <v>4</v>
      </c>
    </row>
    <row r="905" spans="1:8" x14ac:dyDescent="0.25">
      <c r="A905" t="str" cm="1">
        <f t="array" aca="1" ref="A905" ca="1">"aK_T_2_" &amp; INDIRECT("F" &amp; ROW(C905)-3) &amp; "_p"</f>
        <v>aK_T_2_7_1_p</v>
      </c>
      <c r="B905">
        <v>0</v>
      </c>
      <c r="C905" t="s">
        <v>5</v>
      </c>
    </row>
    <row r="906" spans="1:8" x14ac:dyDescent="0.25">
      <c r="A906" t="str" cm="1">
        <f t="array" aca="1" ref="A906" ca="1">"aK_T_3_" &amp; INDIRECT("F" &amp; ROW(C906)-4) &amp; "_p"</f>
        <v>aK_T_3_7_1_p</v>
      </c>
      <c r="B906">
        <v>2</v>
      </c>
      <c r="C906" t="s">
        <v>6</v>
      </c>
    </row>
    <row r="907" spans="1:8" x14ac:dyDescent="0.25">
      <c r="A907" s="5" t="s">
        <v>8</v>
      </c>
    </row>
    <row r="908" spans="1:8" x14ac:dyDescent="0.25">
      <c r="A908" t="str" cm="1">
        <f t="array" aca="1" ref="A908" ca="1">"aK_WS_1_" &amp; INDIRECT("F" &amp; ROW(C908)-6) &amp; "_p"</f>
        <v>aK_WS_1_7_1_p</v>
      </c>
      <c r="B908">
        <v>0</v>
      </c>
      <c r="C908" t="s">
        <v>4</v>
      </c>
    </row>
    <row r="909" spans="1:8" x14ac:dyDescent="0.25">
      <c r="A909" t="str" cm="1">
        <f t="array" aca="1" ref="A909" ca="1">"aK_WS_2_" &amp; INDIRECT("F" &amp; ROW(C909)-7) &amp; "_p"</f>
        <v>aK_WS_2_7_1_p</v>
      </c>
      <c r="B909">
        <v>0</v>
      </c>
      <c r="C909" t="s">
        <v>5</v>
      </c>
    </row>
    <row r="910" spans="1:8" x14ac:dyDescent="0.25">
      <c r="A910" t="str" cm="1">
        <f t="array" aca="1" ref="A910" ca="1">"aK_WS_3_" &amp; INDIRECT("F" &amp; ROW(C910)-8) &amp; "_p"</f>
        <v>aK_WS_3_7_1_p</v>
      </c>
      <c r="B910">
        <v>2</v>
      </c>
      <c r="C910" t="s">
        <v>6</v>
      </c>
    </row>
    <row r="911" spans="1:8" x14ac:dyDescent="0.25">
      <c r="A911" s="5" t="s">
        <v>7</v>
      </c>
      <c r="G911" s="5"/>
      <c r="H911" s="5"/>
    </row>
    <row r="912" spans="1:8" x14ac:dyDescent="0.25">
      <c r="A912" t="str" cm="1">
        <f t="array" aca="1" ref="A912" ca="1">"aK_PREC_1_" &amp; INDIRECT("F" &amp; ROW(C912) - 10) &amp; "_p"</f>
        <v>aK_PREC_1_7_1_p</v>
      </c>
      <c r="B912">
        <v>0</v>
      </c>
      <c r="C912" t="s">
        <v>4</v>
      </c>
      <c r="F912" s="5"/>
    </row>
    <row r="913" spans="1:8" x14ac:dyDescent="0.25">
      <c r="A913" t="str" cm="1">
        <f t="array" aca="1" ref="A913" ca="1">"aK_PREC_2_" &amp; INDIRECT("F" &amp; ROW(C913) - 11) &amp; "_p"</f>
        <v>aK_PREC_2_7_1_p</v>
      </c>
      <c r="B913">
        <v>0</v>
      </c>
      <c r="C913" t="s">
        <v>5</v>
      </c>
    </row>
    <row r="914" spans="1:8" x14ac:dyDescent="0.25">
      <c r="A914" t="str" cm="1">
        <f t="array" aca="1" ref="A914" ca="1">"aK_PREC_3_" &amp; INDIRECT("F" &amp; ROW(C914) - 12) &amp; "_p"</f>
        <v>aK_PREC_3_7_1_p</v>
      </c>
      <c r="B914">
        <v>2</v>
      </c>
      <c r="C914" t="s">
        <v>6</v>
      </c>
    </row>
    <row r="915" spans="1:8" x14ac:dyDescent="0.25">
      <c r="A915" s="5" t="s">
        <v>9</v>
      </c>
      <c r="G915" s="5"/>
      <c r="H915" s="5"/>
    </row>
    <row r="916" spans="1:8" x14ac:dyDescent="0.25">
      <c r="A916" t="str" cm="1">
        <f t="array" aca="1" ref="A916" ca="1">"aK_SL_1_" &amp; INDIRECT("F" &amp; ROW(C916) - 14) &amp; "_p"</f>
        <v>aK_SL_1_7_1_p</v>
      </c>
      <c r="B916">
        <v>0</v>
      </c>
      <c r="C916" t="s">
        <v>4</v>
      </c>
      <c r="F916" s="5"/>
    </row>
    <row r="917" spans="1:8" x14ac:dyDescent="0.25">
      <c r="A917" t="str" cm="1">
        <f t="array" aca="1" ref="A917" ca="1">"aK_SL_2_" &amp; INDIRECT("F" &amp; ROW(C917) - 15) &amp; "_p"</f>
        <v>aK_SL_2_7_1_p</v>
      </c>
      <c r="B917">
        <v>0</v>
      </c>
      <c r="C917" t="s">
        <v>5</v>
      </c>
    </row>
    <row r="918" spans="1:8" x14ac:dyDescent="0.25">
      <c r="A918" t="str" cm="1">
        <f t="array" aca="1" ref="A918" ca="1">"aK_SL_3_" &amp; INDIRECT("F" &amp; ROW(C918) - 16) &amp; "_p"</f>
        <v>aK_SL_3_7_1_p</v>
      </c>
      <c r="B918">
        <v>2</v>
      </c>
      <c r="C918" t="s">
        <v>6</v>
      </c>
    </row>
    <row r="919" spans="1:8" x14ac:dyDescent="0.25">
      <c r="A919" s="5" t="s">
        <v>95</v>
      </c>
    </row>
    <row r="920" spans="1:8" x14ac:dyDescent="0.25">
      <c r="A920" t="str" cm="1">
        <f t="array" aca="1" ref="A920" ca="1">"aK_DRO_1_" &amp; INDIRECT("F" &amp; ROW(C920) - 18) &amp; "_p"</f>
        <v>aK_DRO_1_7_1_p</v>
      </c>
      <c r="B920">
        <v>0</v>
      </c>
      <c r="C920" t="s">
        <v>4</v>
      </c>
    </row>
    <row r="921" spans="1:8" x14ac:dyDescent="0.25">
      <c r="A921" t="str" cm="1">
        <f t="array" aca="1" ref="A921" ca="1">"aK_DRO_2_" &amp; INDIRECT("F" &amp; ROW(C921) - 19) &amp; "_p"</f>
        <v>aK_DRO_2_7_1_p</v>
      </c>
      <c r="B921">
        <v>0</v>
      </c>
      <c r="C921" t="s">
        <v>5</v>
      </c>
    </row>
    <row r="922" spans="1:8" x14ac:dyDescent="0.25">
      <c r="A922" t="str" cm="1">
        <f t="array" aca="1" ref="A922" ca="1">"aK_DRO_3_" &amp; INDIRECT("F" &amp; ROW(C922) - 20) &amp; "_p"</f>
        <v>aK_DRO_3_7_1_p</v>
      </c>
      <c r="B922">
        <v>2</v>
      </c>
      <c r="C922" t="s">
        <v>6</v>
      </c>
    </row>
    <row r="923" spans="1:8" x14ac:dyDescent="0.25">
      <c r="A923" s="5" t="s">
        <v>96</v>
      </c>
    </row>
    <row r="924" spans="1:8" x14ac:dyDescent="0.25">
      <c r="A924" t="str" cm="1">
        <f t="array" aca="1" ref="A924" ca="1">"aK_CYC_1_" &amp; INDIRECT("F" &amp; ROW(C924) - 22) &amp; "_p"</f>
        <v>aK_CYC_1_7_1_p</v>
      </c>
      <c r="B924">
        <v>0.1</v>
      </c>
      <c r="C924" t="s">
        <v>4</v>
      </c>
    </row>
    <row r="925" spans="1:8" x14ac:dyDescent="0.25">
      <c r="A925" t="str" cm="1">
        <f t="array" aca="1" ref="A925" ca="1">"aK_CYC_2_" &amp; INDIRECT("F" &amp; ROW(C925) - 23) &amp; "_p"</f>
        <v>aK_CYC_2_7_1_p</v>
      </c>
      <c r="B925">
        <v>0</v>
      </c>
      <c r="C925" t="s">
        <v>5</v>
      </c>
    </row>
    <row r="926" spans="1:8" x14ac:dyDescent="0.25">
      <c r="A926" t="str" cm="1">
        <f t="array" aca="1" ref="A926" ca="1">"aK_CYC_3_" &amp; INDIRECT("F" &amp; ROW(C926) - 24) &amp; "_p"</f>
        <v>aK_CYC_3_7_1_p</v>
      </c>
      <c r="B926">
        <v>2</v>
      </c>
      <c r="C926" t="s">
        <v>6</v>
      </c>
    </row>
    <row r="927" spans="1:8" x14ac:dyDescent="0.25">
      <c r="A927" s="31" t="s">
        <v>140</v>
      </c>
      <c r="B927" s="31"/>
      <c r="C927" s="31"/>
      <c r="D927" s="25">
        <v>7</v>
      </c>
      <c r="E927" s="25">
        <v>2</v>
      </c>
      <c r="F927" s="25" t="s">
        <v>173</v>
      </c>
    </row>
    <row r="928" spans="1:8" x14ac:dyDescent="0.25">
      <c r="A928" s="5" t="s">
        <v>3</v>
      </c>
    </row>
    <row r="929" spans="1:8" x14ac:dyDescent="0.25">
      <c r="A929" t="str" cm="1">
        <f t="array" aca="1" ref="A929" ca="1">"aK_T_1_" &amp; INDIRECT("F" &amp; ROW(C929)-2) &amp; "_p"</f>
        <v>aK_T_1_7_2_p</v>
      </c>
      <c r="B929">
        <v>0</v>
      </c>
      <c r="C929" t="s">
        <v>4</v>
      </c>
    </row>
    <row r="930" spans="1:8" x14ac:dyDescent="0.25">
      <c r="A930" t="str" cm="1">
        <f t="array" aca="1" ref="A930" ca="1">"aK_T_2_" &amp; INDIRECT("F" &amp; ROW(C930)-3) &amp; "_p"</f>
        <v>aK_T_2_7_2_p</v>
      </c>
      <c r="B930">
        <v>0</v>
      </c>
      <c r="C930" t="s">
        <v>5</v>
      </c>
    </row>
    <row r="931" spans="1:8" x14ac:dyDescent="0.25">
      <c r="A931" t="str" cm="1">
        <f t="array" aca="1" ref="A931" ca="1">"aK_T_3_" &amp; INDIRECT("F" &amp; ROW(C931)-4) &amp; "_p"</f>
        <v>aK_T_3_7_2_p</v>
      </c>
      <c r="B931">
        <v>2</v>
      </c>
      <c r="C931" t="s">
        <v>6</v>
      </c>
    </row>
    <row r="932" spans="1:8" x14ac:dyDescent="0.25">
      <c r="A932" s="5" t="s">
        <v>8</v>
      </c>
    </row>
    <row r="933" spans="1:8" x14ac:dyDescent="0.25">
      <c r="A933" t="str" cm="1">
        <f t="array" aca="1" ref="A933" ca="1">"aK_WS_1_" &amp; INDIRECT("F" &amp; ROW(C933)-6) &amp; "_p"</f>
        <v>aK_WS_1_7_2_p</v>
      </c>
      <c r="B933">
        <v>0</v>
      </c>
      <c r="C933" t="s">
        <v>4</v>
      </c>
    </row>
    <row r="934" spans="1:8" x14ac:dyDescent="0.25">
      <c r="A934" t="str" cm="1">
        <f t="array" aca="1" ref="A934" ca="1">"aK_WS_2_" &amp; INDIRECT("F" &amp; ROW(C934)-7) &amp; "_p"</f>
        <v>aK_WS_2_7_2_p</v>
      </c>
      <c r="B934">
        <v>0</v>
      </c>
      <c r="C934" t="s">
        <v>5</v>
      </c>
    </row>
    <row r="935" spans="1:8" x14ac:dyDescent="0.25">
      <c r="A935" t="str" cm="1">
        <f t="array" aca="1" ref="A935" ca="1">"aK_WS_3_" &amp; INDIRECT("F" &amp; ROW(C935)-8) &amp; "_p"</f>
        <v>aK_WS_3_7_2_p</v>
      </c>
      <c r="B935">
        <v>2</v>
      </c>
      <c r="C935" t="s">
        <v>6</v>
      </c>
    </row>
    <row r="936" spans="1:8" x14ac:dyDescent="0.25">
      <c r="A936" s="5" t="s">
        <v>7</v>
      </c>
      <c r="G936" s="5"/>
      <c r="H936" s="5"/>
    </row>
    <row r="937" spans="1:8" x14ac:dyDescent="0.25">
      <c r="A937" t="str" cm="1">
        <f t="array" aca="1" ref="A937" ca="1">"aK_PREC_1_" &amp; INDIRECT("F" &amp; ROW(C937) - 10) &amp; "_p"</f>
        <v>aK_PREC_1_7_2_p</v>
      </c>
      <c r="B937">
        <v>0</v>
      </c>
      <c r="C937" t="s">
        <v>4</v>
      </c>
      <c r="F937" s="5"/>
    </row>
    <row r="938" spans="1:8" x14ac:dyDescent="0.25">
      <c r="A938" t="str" cm="1">
        <f t="array" aca="1" ref="A938" ca="1">"aK_PREC_2_" &amp; INDIRECT("F" &amp; ROW(C938) - 11) &amp; "_p"</f>
        <v>aK_PREC_2_7_2_p</v>
      </c>
      <c r="B938">
        <v>0</v>
      </c>
      <c r="C938" t="s">
        <v>5</v>
      </c>
    </row>
    <row r="939" spans="1:8" x14ac:dyDescent="0.25">
      <c r="A939" t="str" cm="1">
        <f t="array" aca="1" ref="A939" ca="1">"aK_PREC_3_" &amp; INDIRECT("F" &amp; ROW(C939) - 12) &amp; "_p"</f>
        <v>aK_PREC_3_7_2_p</v>
      </c>
      <c r="B939">
        <v>2</v>
      </c>
      <c r="C939" t="s">
        <v>6</v>
      </c>
    </row>
    <row r="940" spans="1:8" x14ac:dyDescent="0.25">
      <c r="A940" s="5" t="s">
        <v>9</v>
      </c>
      <c r="G940" s="5"/>
      <c r="H940" s="5"/>
    </row>
    <row r="941" spans="1:8" x14ac:dyDescent="0.25">
      <c r="A941" t="str" cm="1">
        <f t="array" aca="1" ref="A941" ca="1">"aK_SL_1_" &amp; INDIRECT("F" &amp; ROW(C941) - 14) &amp; "_p"</f>
        <v>aK_SL_1_7_2_p</v>
      </c>
      <c r="B941">
        <v>0</v>
      </c>
      <c r="C941" t="s">
        <v>4</v>
      </c>
      <c r="F941" s="5"/>
    </row>
    <row r="942" spans="1:8" x14ac:dyDescent="0.25">
      <c r="A942" t="str" cm="1">
        <f t="array" aca="1" ref="A942" ca="1">"aK_SL_2_" &amp; INDIRECT("F" &amp; ROW(C942) - 15) &amp; "_p"</f>
        <v>aK_SL_2_7_2_p</v>
      </c>
      <c r="B942">
        <v>0</v>
      </c>
      <c r="C942" t="s">
        <v>5</v>
      </c>
    </row>
    <row r="943" spans="1:8" x14ac:dyDescent="0.25">
      <c r="A943" t="str" cm="1">
        <f t="array" aca="1" ref="A943" ca="1">"aK_SL_3_" &amp; INDIRECT("F" &amp; ROW(C943) - 16) &amp; "_p"</f>
        <v>aK_SL_3_7_2_p</v>
      </c>
      <c r="B943">
        <v>2</v>
      </c>
      <c r="C943" t="s">
        <v>6</v>
      </c>
    </row>
    <row r="944" spans="1:8" x14ac:dyDescent="0.25">
      <c r="A944" s="5" t="s">
        <v>95</v>
      </c>
    </row>
    <row r="945" spans="1:6" x14ac:dyDescent="0.25">
      <c r="A945" t="str" cm="1">
        <f t="array" aca="1" ref="A945" ca="1">"aK_DRO_1_" &amp; INDIRECT("F" &amp; ROW(C945) - 18) &amp; "_p"</f>
        <v>aK_DRO_1_7_2_p</v>
      </c>
      <c r="B945">
        <v>0</v>
      </c>
      <c r="C945" t="s">
        <v>4</v>
      </c>
    </row>
    <row r="946" spans="1:6" x14ac:dyDescent="0.25">
      <c r="A946" t="str" cm="1">
        <f t="array" aca="1" ref="A946" ca="1">"aK_DRO_2_" &amp; INDIRECT("F" &amp; ROW(C946) - 19) &amp; "_p"</f>
        <v>aK_DRO_2_7_2_p</v>
      </c>
      <c r="B946">
        <v>0</v>
      </c>
      <c r="C946" t="s">
        <v>5</v>
      </c>
    </row>
    <row r="947" spans="1:6" x14ac:dyDescent="0.25">
      <c r="A947" t="str" cm="1">
        <f t="array" aca="1" ref="A947" ca="1">"aK_DRO_3_" &amp; INDIRECT("F" &amp; ROW(C947) - 20) &amp; "_p"</f>
        <v>aK_DRO_3_7_2_p</v>
      </c>
      <c r="B947">
        <v>2</v>
      </c>
      <c r="C947" t="s">
        <v>6</v>
      </c>
    </row>
    <row r="948" spans="1:6" x14ac:dyDescent="0.25">
      <c r="A948" s="5" t="s">
        <v>96</v>
      </c>
    </row>
    <row r="949" spans="1:6" x14ac:dyDescent="0.25">
      <c r="A949" t="str" cm="1">
        <f t="array" aca="1" ref="A949" ca="1">"aK_CYC_1_" &amp; INDIRECT("F" &amp; ROW(C949) - 22) &amp; "_p"</f>
        <v>aK_CYC_1_7_2_p</v>
      </c>
      <c r="B949">
        <v>0.1</v>
      </c>
      <c r="C949" t="s">
        <v>4</v>
      </c>
    </row>
    <row r="950" spans="1:6" x14ac:dyDescent="0.25">
      <c r="A950" t="str" cm="1">
        <f t="array" aca="1" ref="A950" ca="1">"aK_CYC_2_" &amp; INDIRECT("F" &amp; ROW(C950) - 23) &amp; "_p"</f>
        <v>aK_CYC_2_7_2_p</v>
      </c>
      <c r="B950">
        <v>0</v>
      </c>
      <c r="C950" t="s">
        <v>5</v>
      </c>
    </row>
    <row r="951" spans="1:6" x14ac:dyDescent="0.25">
      <c r="A951" t="str" cm="1">
        <f t="array" aca="1" ref="A951" ca="1">"aK_CYC_3_" &amp; INDIRECT("F" &amp; ROW(C951) - 24) &amp; "_p"</f>
        <v>aK_CYC_3_7_2_p</v>
      </c>
      <c r="B951">
        <v>2</v>
      </c>
      <c r="C951" t="s">
        <v>6</v>
      </c>
    </row>
    <row r="952" spans="1:6" x14ac:dyDescent="0.25">
      <c r="A952" s="31" t="s">
        <v>141</v>
      </c>
      <c r="B952" s="31"/>
      <c r="C952" s="31"/>
      <c r="D952" s="25">
        <v>7</v>
      </c>
      <c r="E952" s="25">
        <v>3</v>
      </c>
      <c r="F952" s="25" t="s">
        <v>172</v>
      </c>
    </row>
    <row r="953" spans="1:6" x14ac:dyDescent="0.25">
      <c r="A953" s="5" t="s">
        <v>3</v>
      </c>
    </row>
    <row r="954" spans="1:6" x14ac:dyDescent="0.25">
      <c r="A954" t="str" cm="1">
        <f t="array" aca="1" ref="A954" ca="1">"aK_T_1_" &amp; INDIRECT("F" &amp; ROW(C954)-2) &amp; "_p"</f>
        <v>aK_T_1_7_3_p</v>
      </c>
      <c r="B954">
        <v>0</v>
      </c>
      <c r="C954" t="s">
        <v>4</v>
      </c>
    </row>
    <row r="955" spans="1:6" x14ac:dyDescent="0.25">
      <c r="A955" t="str" cm="1">
        <f t="array" aca="1" ref="A955" ca="1">"aK_T_2_" &amp; INDIRECT("F" &amp; ROW(C955)-3) &amp; "_p"</f>
        <v>aK_T_2_7_3_p</v>
      </c>
      <c r="B955">
        <v>0</v>
      </c>
      <c r="C955" t="s">
        <v>5</v>
      </c>
    </row>
    <row r="956" spans="1:6" x14ac:dyDescent="0.25">
      <c r="A956" t="str" cm="1">
        <f t="array" aca="1" ref="A956" ca="1">"aK_T_3_" &amp; INDIRECT("F" &amp; ROW(C956)-4) &amp; "_p"</f>
        <v>aK_T_3_7_3_p</v>
      </c>
      <c r="B956">
        <v>2</v>
      </c>
      <c r="C956" t="s">
        <v>6</v>
      </c>
    </row>
    <row r="957" spans="1:6" x14ac:dyDescent="0.25">
      <c r="A957" s="5" t="s">
        <v>8</v>
      </c>
    </row>
    <row r="958" spans="1:6" x14ac:dyDescent="0.25">
      <c r="A958" t="str" cm="1">
        <f t="array" aca="1" ref="A958" ca="1">"aK_WS_1_" &amp; INDIRECT("F" &amp; ROW(C958)-6) &amp; "_p"</f>
        <v>aK_WS_1_7_3_p</v>
      </c>
      <c r="B958">
        <v>0</v>
      </c>
      <c r="C958" t="s">
        <v>4</v>
      </c>
    </row>
    <row r="959" spans="1:6" x14ac:dyDescent="0.25">
      <c r="A959" t="str" cm="1">
        <f t="array" aca="1" ref="A959" ca="1">"aK_WS_2_" &amp; INDIRECT("F" &amp; ROW(C959)-7) &amp; "_p"</f>
        <v>aK_WS_2_7_3_p</v>
      </c>
      <c r="B959">
        <v>0</v>
      </c>
      <c r="C959" t="s">
        <v>5</v>
      </c>
    </row>
    <row r="960" spans="1:6" x14ac:dyDescent="0.25">
      <c r="A960" t="str" cm="1">
        <f t="array" aca="1" ref="A960" ca="1">"aK_WS_3_" &amp; INDIRECT("F" &amp; ROW(C960)-8) &amp; "_p"</f>
        <v>aK_WS_3_7_3_p</v>
      </c>
      <c r="B960">
        <v>2</v>
      </c>
      <c r="C960" t="s">
        <v>6</v>
      </c>
    </row>
    <row r="961" spans="1:8" x14ac:dyDescent="0.25">
      <c r="A961" s="5" t="s">
        <v>7</v>
      </c>
      <c r="G961" s="5"/>
      <c r="H961" s="5"/>
    </row>
    <row r="962" spans="1:8" x14ac:dyDescent="0.25">
      <c r="A962" t="str" cm="1">
        <f t="array" aca="1" ref="A962" ca="1">"aK_PREC_1_" &amp; INDIRECT("F" &amp; ROW(C962) - 10) &amp; "_p"</f>
        <v>aK_PREC_1_7_3_p</v>
      </c>
      <c r="B962">
        <v>0</v>
      </c>
      <c r="C962" t="s">
        <v>4</v>
      </c>
      <c r="F962" s="5"/>
    </row>
    <row r="963" spans="1:8" x14ac:dyDescent="0.25">
      <c r="A963" t="str" cm="1">
        <f t="array" aca="1" ref="A963" ca="1">"aK_PREC_2_" &amp; INDIRECT("F" &amp; ROW(C963) - 11) &amp; "_p"</f>
        <v>aK_PREC_2_7_3_p</v>
      </c>
      <c r="B963">
        <v>0</v>
      </c>
      <c r="C963" t="s">
        <v>5</v>
      </c>
    </row>
    <row r="964" spans="1:8" x14ac:dyDescent="0.25">
      <c r="A964" t="str" cm="1">
        <f t="array" aca="1" ref="A964" ca="1">"aK_PREC_3_" &amp; INDIRECT("F" &amp; ROW(C964) - 12) &amp; "_p"</f>
        <v>aK_PREC_3_7_3_p</v>
      </c>
      <c r="B964">
        <v>2</v>
      </c>
      <c r="C964" t="s">
        <v>6</v>
      </c>
    </row>
    <row r="965" spans="1:8" x14ac:dyDescent="0.25">
      <c r="A965" s="5" t="s">
        <v>9</v>
      </c>
      <c r="G965" s="5"/>
      <c r="H965" s="5"/>
    </row>
    <row r="966" spans="1:8" x14ac:dyDescent="0.25">
      <c r="A966" t="str" cm="1">
        <f t="array" aca="1" ref="A966" ca="1">"aK_SL_1_" &amp; INDIRECT("F" &amp; ROW(C966) - 14) &amp; "_p"</f>
        <v>aK_SL_1_7_3_p</v>
      </c>
      <c r="B966">
        <v>0</v>
      </c>
      <c r="C966" t="s">
        <v>4</v>
      </c>
      <c r="F966" s="5"/>
    </row>
    <row r="967" spans="1:8" x14ac:dyDescent="0.25">
      <c r="A967" t="str" cm="1">
        <f t="array" aca="1" ref="A967" ca="1">"aK_SL_2_" &amp; INDIRECT("F" &amp; ROW(C967) - 15) &amp; "_p"</f>
        <v>aK_SL_2_7_3_p</v>
      </c>
      <c r="B967">
        <v>0</v>
      </c>
      <c r="C967" t="s">
        <v>5</v>
      </c>
    </row>
    <row r="968" spans="1:8" x14ac:dyDescent="0.25">
      <c r="A968" t="str" cm="1">
        <f t="array" aca="1" ref="A968" ca="1">"aK_SL_3_" &amp; INDIRECT("F" &amp; ROW(C968) - 16) &amp; "_p"</f>
        <v>aK_SL_3_7_3_p</v>
      </c>
      <c r="B968">
        <v>2</v>
      </c>
      <c r="C968" t="s">
        <v>6</v>
      </c>
    </row>
    <row r="969" spans="1:8" x14ac:dyDescent="0.25">
      <c r="A969" s="5" t="s">
        <v>95</v>
      </c>
    </row>
    <row r="970" spans="1:8" x14ac:dyDescent="0.25">
      <c r="A970" t="str" cm="1">
        <f t="array" aca="1" ref="A970" ca="1">"aK_DRO_1_" &amp; INDIRECT("F" &amp; ROW(C970) - 18) &amp; "_p"</f>
        <v>aK_DRO_1_7_3_p</v>
      </c>
      <c r="B970">
        <v>0</v>
      </c>
      <c r="C970" t="s">
        <v>4</v>
      </c>
    </row>
    <row r="971" spans="1:8" x14ac:dyDescent="0.25">
      <c r="A971" t="str" cm="1">
        <f t="array" aca="1" ref="A971" ca="1">"aK_DRO_2_" &amp; INDIRECT("F" &amp; ROW(C971) - 19) &amp; "_p"</f>
        <v>aK_DRO_2_7_3_p</v>
      </c>
      <c r="B971">
        <v>0</v>
      </c>
      <c r="C971" t="s">
        <v>5</v>
      </c>
    </row>
    <row r="972" spans="1:8" x14ac:dyDescent="0.25">
      <c r="A972" t="str" cm="1">
        <f t="array" aca="1" ref="A972" ca="1">"aK_DRO_3_" &amp; INDIRECT("F" &amp; ROW(C972) - 20) &amp; "_p"</f>
        <v>aK_DRO_3_7_3_p</v>
      </c>
      <c r="B972">
        <v>2</v>
      </c>
      <c r="C972" t="s">
        <v>6</v>
      </c>
    </row>
    <row r="973" spans="1:8" x14ac:dyDescent="0.25">
      <c r="A973" s="5" t="s">
        <v>96</v>
      </c>
    </row>
    <row r="974" spans="1:8" x14ac:dyDescent="0.25">
      <c r="A974" t="str" cm="1">
        <f t="array" aca="1" ref="A974" ca="1">"aK_CYC_1_" &amp; INDIRECT("F" &amp; ROW(C974) - 22) &amp; "_p"</f>
        <v>aK_CYC_1_7_3_p</v>
      </c>
      <c r="B974">
        <v>0.1</v>
      </c>
      <c r="C974" t="s">
        <v>4</v>
      </c>
    </row>
    <row r="975" spans="1:8" x14ac:dyDescent="0.25">
      <c r="A975" t="str" cm="1">
        <f t="array" aca="1" ref="A975" ca="1">"aK_CYC_2_" &amp; INDIRECT("F" &amp; ROW(C975) - 23) &amp; "_p"</f>
        <v>aK_CYC_2_7_3_p</v>
      </c>
      <c r="B975">
        <v>0</v>
      </c>
      <c r="C975" t="s">
        <v>5</v>
      </c>
    </row>
    <row r="976" spans="1:8" x14ac:dyDescent="0.25">
      <c r="A976" t="str" cm="1">
        <f t="array" aca="1" ref="A976" ca="1">"aK_CYC_3_" &amp; INDIRECT("F" &amp; ROW(C976) - 24) &amp; "_p"</f>
        <v>aK_CYC_3_7_3_p</v>
      </c>
      <c r="B976">
        <v>2</v>
      </c>
      <c r="C976" t="s">
        <v>6</v>
      </c>
    </row>
    <row r="977" spans="1:8" x14ac:dyDescent="0.25">
      <c r="A977" s="31" t="s">
        <v>142</v>
      </c>
      <c r="B977" s="31"/>
      <c r="C977" s="31"/>
      <c r="D977" s="25">
        <v>7</v>
      </c>
      <c r="E977" s="25">
        <v>4</v>
      </c>
      <c r="F977" s="25" t="s">
        <v>171</v>
      </c>
    </row>
    <row r="978" spans="1:8" x14ac:dyDescent="0.25">
      <c r="A978" s="5" t="s">
        <v>3</v>
      </c>
    </row>
    <row r="979" spans="1:8" x14ac:dyDescent="0.25">
      <c r="A979" t="str" cm="1">
        <f t="array" aca="1" ref="A979" ca="1">"aK_T_1_" &amp; INDIRECT("F" &amp; ROW(C979)-2) &amp; "_p"</f>
        <v>aK_T_1_7_4_p</v>
      </c>
      <c r="B979">
        <v>0</v>
      </c>
      <c r="C979" t="s">
        <v>4</v>
      </c>
    </row>
    <row r="980" spans="1:8" x14ac:dyDescent="0.25">
      <c r="A980" t="str" cm="1">
        <f t="array" aca="1" ref="A980" ca="1">"aK_T_2_" &amp; INDIRECT("F" &amp; ROW(C980)-3) &amp; "_p"</f>
        <v>aK_T_2_7_4_p</v>
      </c>
      <c r="B980">
        <v>0</v>
      </c>
      <c r="C980" t="s">
        <v>5</v>
      </c>
    </row>
    <row r="981" spans="1:8" x14ac:dyDescent="0.25">
      <c r="A981" t="str" cm="1">
        <f t="array" aca="1" ref="A981" ca="1">"aK_T_3_" &amp; INDIRECT("F" &amp; ROW(C981)-4) &amp; "_p"</f>
        <v>aK_T_3_7_4_p</v>
      </c>
      <c r="B981">
        <v>2</v>
      </c>
      <c r="C981" t="s">
        <v>6</v>
      </c>
    </row>
    <row r="982" spans="1:8" x14ac:dyDescent="0.25">
      <c r="A982" s="5" t="s">
        <v>8</v>
      </c>
    </row>
    <row r="983" spans="1:8" x14ac:dyDescent="0.25">
      <c r="A983" t="str" cm="1">
        <f t="array" aca="1" ref="A983" ca="1">"aK_WS_1_" &amp; INDIRECT("F" &amp; ROW(C983)-6) &amp; "_p"</f>
        <v>aK_WS_1_7_4_p</v>
      </c>
      <c r="B983">
        <v>0</v>
      </c>
      <c r="C983" t="s">
        <v>4</v>
      </c>
    </row>
    <row r="984" spans="1:8" x14ac:dyDescent="0.25">
      <c r="A984" t="str" cm="1">
        <f t="array" aca="1" ref="A984" ca="1">"aK_WS_2_" &amp; INDIRECT("F" &amp; ROW(C984)-7) &amp; "_p"</f>
        <v>aK_WS_2_7_4_p</v>
      </c>
      <c r="B984">
        <v>0</v>
      </c>
      <c r="C984" t="s">
        <v>5</v>
      </c>
    </row>
    <row r="985" spans="1:8" x14ac:dyDescent="0.25">
      <c r="A985" t="str" cm="1">
        <f t="array" aca="1" ref="A985" ca="1">"aK_WS_3_" &amp; INDIRECT("F" &amp; ROW(C985)-8) &amp; "_p"</f>
        <v>aK_WS_3_7_4_p</v>
      </c>
      <c r="B985">
        <v>2</v>
      </c>
      <c r="C985" t="s">
        <v>6</v>
      </c>
    </row>
    <row r="986" spans="1:8" x14ac:dyDescent="0.25">
      <c r="A986" s="5" t="s">
        <v>7</v>
      </c>
      <c r="G986" s="5"/>
      <c r="H986" s="5"/>
    </row>
    <row r="987" spans="1:8" x14ac:dyDescent="0.25">
      <c r="A987" t="str" cm="1">
        <f t="array" aca="1" ref="A987" ca="1">"aK_PREC_1_" &amp; INDIRECT("F" &amp; ROW(C987) - 10) &amp; "_p"</f>
        <v>aK_PREC_1_7_4_p</v>
      </c>
      <c r="B987">
        <v>0</v>
      </c>
      <c r="C987" t="s">
        <v>4</v>
      </c>
      <c r="F987" s="5"/>
    </row>
    <row r="988" spans="1:8" x14ac:dyDescent="0.25">
      <c r="A988" t="str" cm="1">
        <f t="array" aca="1" ref="A988" ca="1">"aK_PREC_2_" &amp; INDIRECT("F" &amp; ROW(C988) - 11) &amp; "_p"</f>
        <v>aK_PREC_2_7_4_p</v>
      </c>
      <c r="B988">
        <v>0</v>
      </c>
      <c r="C988" t="s">
        <v>5</v>
      </c>
    </row>
    <row r="989" spans="1:8" x14ac:dyDescent="0.25">
      <c r="A989" t="str" cm="1">
        <f t="array" aca="1" ref="A989" ca="1">"aK_PREC_3_" &amp; INDIRECT("F" &amp; ROW(C989) - 12) &amp; "_p"</f>
        <v>aK_PREC_3_7_4_p</v>
      </c>
      <c r="B989">
        <v>2</v>
      </c>
      <c r="C989" t="s">
        <v>6</v>
      </c>
    </row>
    <row r="990" spans="1:8" x14ac:dyDescent="0.25">
      <c r="A990" s="5" t="s">
        <v>9</v>
      </c>
      <c r="G990" s="5"/>
      <c r="H990" s="5"/>
    </row>
    <row r="991" spans="1:8" x14ac:dyDescent="0.25">
      <c r="A991" t="str" cm="1">
        <f t="array" aca="1" ref="A991" ca="1">"aK_SL_1_" &amp; INDIRECT("F" &amp; ROW(C991) - 14) &amp; "_p"</f>
        <v>aK_SL_1_7_4_p</v>
      </c>
      <c r="B991">
        <v>0</v>
      </c>
      <c r="C991" t="s">
        <v>4</v>
      </c>
      <c r="F991" s="5"/>
    </row>
    <row r="992" spans="1:8" x14ac:dyDescent="0.25">
      <c r="A992" t="str" cm="1">
        <f t="array" aca="1" ref="A992" ca="1">"aK_SL_2_" &amp; INDIRECT("F" &amp; ROW(C992) - 15) &amp; "_p"</f>
        <v>aK_SL_2_7_4_p</v>
      </c>
      <c r="B992">
        <v>0</v>
      </c>
      <c r="C992" t="s">
        <v>5</v>
      </c>
    </row>
    <row r="993" spans="1:6" x14ac:dyDescent="0.25">
      <c r="A993" t="str" cm="1">
        <f t="array" aca="1" ref="A993" ca="1">"aK_SL_3_" &amp; INDIRECT("F" &amp; ROW(C993) - 16) &amp; "_p"</f>
        <v>aK_SL_3_7_4_p</v>
      </c>
      <c r="B993">
        <v>2</v>
      </c>
      <c r="C993" t="s">
        <v>6</v>
      </c>
    </row>
    <row r="994" spans="1:6" x14ac:dyDescent="0.25">
      <c r="A994" s="5" t="s">
        <v>95</v>
      </c>
    </row>
    <row r="995" spans="1:6" x14ac:dyDescent="0.25">
      <c r="A995" t="str" cm="1">
        <f t="array" aca="1" ref="A995" ca="1">"aK_DRO_1_" &amp; INDIRECT("F" &amp; ROW(C995) - 18) &amp; "_p"</f>
        <v>aK_DRO_1_7_4_p</v>
      </c>
      <c r="B995">
        <v>0</v>
      </c>
      <c r="C995" t="s">
        <v>4</v>
      </c>
    </row>
    <row r="996" spans="1:6" x14ac:dyDescent="0.25">
      <c r="A996" t="str" cm="1">
        <f t="array" aca="1" ref="A996" ca="1">"aK_DRO_2_" &amp; INDIRECT("F" &amp; ROW(C996) - 19) &amp; "_p"</f>
        <v>aK_DRO_2_7_4_p</v>
      </c>
      <c r="B996">
        <v>0</v>
      </c>
      <c r="C996" t="s">
        <v>5</v>
      </c>
    </row>
    <row r="997" spans="1:6" x14ac:dyDescent="0.25">
      <c r="A997" t="str" cm="1">
        <f t="array" aca="1" ref="A997" ca="1">"aK_DRO_3_" &amp; INDIRECT("F" &amp; ROW(C997) - 20) &amp; "_p"</f>
        <v>aK_DRO_3_7_4_p</v>
      </c>
      <c r="B997">
        <v>2</v>
      </c>
      <c r="C997" t="s">
        <v>6</v>
      </c>
    </row>
    <row r="998" spans="1:6" x14ac:dyDescent="0.25">
      <c r="A998" s="5" t="s">
        <v>96</v>
      </c>
    </row>
    <row r="999" spans="1:6" x14ac:dyDescent="0.25">
      <c r="A999" t="str" cm="1">
        <f t="array" aca="1" ref="A999" ca="1">"aK_CYC_1_" &amp; INDIRECT("F" &amp; ROW(C999) - 22) &amp; "_p"</f>
        <v>aK_CYC_1_7_4_p</v>
      </c>
      <c r="B999">
        <v>0.1</v>
      </c>
      <c r="C999" t="s">
        <v>4</v>
      </c>
    </row>
    <row r="1000" spans="1:6" x14ac:dyDescent="0.25">
      <c r="A1000" t="str" cm="1">
        <f t="array" aca="1" ref="A1000" ca="1">"aK_CYC_2_" &amp; INDIRECT("F" &amp; ROW(C1000) - 23) &amp; "_p"</f>
        <v>aK_CYC_2_7_4_p</v>
      </c>
      <c r="B1000">
        <v>0</v>
      </c>
      <c r="C1000" t="s">
        <v>5</v>
      </c>
    </row>
    <row r="1001" spans="1:6" x14ac:dyDescent="0.25">
      <c r="A1001" t="str" cm="1">
        <f t="array" aca="1" ref="A1001" ca="1">"aK_CYC_3_" &amp; INDIRECT("F" &amp; ROW(C1001) - 24) &amp; "_p"</f>
        <v>aK_CYC_3_7_4_p</v>
      </c>
      <c r="B1001">
        <v>2</v>
      </c>
      <c r="C1001" t="s">
        <v>6</v>
      </c>
    </row>
    <row r="1002" spans="1:6" x14ac:dyDescent="0.25">
      <c r="A1002" s="31" t="s">
        <v>143</v>
      </c>
      <c r="B1002" s="31"/>
      <c r="C1002" s="31"/>
      <c r="D1002" s="25">
        <v>7</v>
      </c>
      <c r="E1002" s="25">
        <v>5</v>
      </c>
      <c r="F1002" s="25" t="s">
        <v>170</v>
      </c>
    </row>
    <row r="1003" spans="1:6" x14ac:dyDescent="0.25">
      <c r="A1003" s="5" t="s">
        <v>3</v>
      </c>
    </row>
    <row r="1004" spans="1:6" x14ac:dyDescent="0.25">
      <c r="A1004" t="str" cm="1">
        <f t="array" aca="1" ref="A1004" ca="1">"aK_T_1_" &amp; INDIRECT("F" &amp; ROW(C1004)-2) &amp; "_p"</f>
        <v>aK_T_1_7_5_p</v>
      </c>
      <c r="B1004">
        <v>0</v>
      </c>
      <c r="C1004" t="s">
        <v>4</v>
      </c>
    </row>
    <row r="1005" spans="1:6" x14ac:dyDescent="0.25">
      <c r="A1005" t="str" cm="1">
        <f t="array" aca="1" ref="A1005" ca="1">"aK_T_2_" &amp; INDIRECT("F" &amp; ROW(C1005)-3) &amp; "_p"</f>
        <v>aK_T_2_7_5_p</v>
      </c>
      <c r="B1005">
        <v>0</v>
      </c>
      <c r="C1005" t="s">
        <v>5</v>
      </c>
    </row>
    <row r="1006" spans="1:6" x14ac:dyDescent="0.25">
      <c r="A1006" t="str" cm="1">
        <f t="array" aca="1" ref="A1006" ca="1">"aK_T_3_" &amp; INDIRECT("F" &amp; ROW(C1006)-4) &amp; "_p"</f>
        <v>aK_T_3_7_5_p</v>
      </c>
      <c r="B1006">
        <v>2</v>
      </c>
      <c r="C1006" t="s">
        <v>6</v>
      </c>
    </row>
    <row r="1007" spans="1:6" x14ac:dyDescent="0.25">
      <c r="A1007" s="5" t="s">
        <v>8</v>
      </c>
    </row>
    <row r="1008" spans="1:6" x14ac:dyDescent="0.25">
      <c r="A1008" t="str" cm="1">
        <f t="array" aca="1" ref="A1008" ca="1">"aK_WS_1_" &amp; INDIRECT("F" &amp; ROW(C1008)-6) &amp; "_p"</f>
        <v>aK_WS_1_7_5_p</v>
      </c>
      <c r="B1008">
        <v>0</v>
      </c>
      <c r="C1008" t="s">
        <v>4</v>
      </c>
    </row>
    <row r="1009" spans="1:8" x14ac:dyDescent="0.25">
      <c r="A1009" t="str" cm="1">
        <f t="array" aca="1" ref="A1009" ca="1">"aK_WS_2_" &amp; INDIRECT("F" &amp; ROW(C1009)-7) &amp; "_p"</f>
        <v>aK_WS_2_7_5_p</v>
      </c>
      <c r="B1009">
        <v>0</v>
      </c>
      <c r="C1009" t="s">
        <v>5</v>
      </c>
    </row>
    <row r="1010" spans="1:8" x14ac:dyDescent="0.25">
      <c r="A1010" t="str" cm="1">
        <f t="array" aca="1" ref="A1010" ca="1">"aK_WS_3_" &amp; INDIRECT("F" &amp; ROW(C1010)-8) &amp; "_p"</f>
        <v>aK_WS_3_7_5_p</v>
      </c>
      <c r="B1010">
        <v>2</v>
      </c>
      <c r="C1010" t="s">
        <v>6</v>
      </c>
    </row>
    <row r="1011" spans="1:8" x14ac:dyDescent="0.25">
      <c r="A1011" s="5" t="s">
        <v>7</v>
      </c>
      <c r="G1011" s="5"/>
      <c r="H1011" s="5"/>
    </row>
    <row r="1012" spans="1:8" x14ac:dyDescent="0.25">
      <c r="A1012" t="str" cm="1">
        <f t="array" aca="1" ref="A1012" ca="1">"aK_PREC_1_" &amp; INDIRECT("F" &amp; ROW(C1012) - 10) &amp; "_p"</f>
        <v>aK_PREC_1_7_5_p</v>
      </c>
      <c r="B1012">
        <v>0</v>
      </c>
      <c r="C1012" t="s">
        <v>4</v>
      </c>
      <c r="F1012" s="5"/>
    </row>
    <row r="1013" spans="1:8" x14ac:dyDescent="0.25">
      <c r="A1013" t="str" cm="1">
        <f t="array" aca="1" ref="A1013" ca="1">"aK_PREC_2_" &amp; INDIRECT("F" &amp; ROW(C1013) - 11) &amp; "_p"</f>
        <v>aK_PREC_2_7_5_p</v>
      </c>
      <c r="B1013">
        <v>0</v>
      </c>
      <c r="C1013" t="s">
        <v>5</v>
      </c>
    </row>
    <row r="1014" spans="1:8" x14ac:dyDescent="0.25">
      <c r="A1014" t="str" cm="1">
        <f t="array" aca="1" ref="A1014" ca="1">"aK_PREC_3_" &amp; INDIRECT("F" &amp; ROW(C1014) - 12) &amp; "_p"</f>
        <v>aK_PREC_3_7_5_p</v>
      </c>
      <c r="B1014">
        <v>2</v>
      </c>
      <c r="C1014" t="s">
        <v>6</v>
      </c>
    </row>
    <row r="1015" spans="1:8" x14ac:dyDescent="0.25">
      <c r="A1015" s="5" t="s">
        <v>9</v>
      </c>
      <c r="G1015" s="5"/>
      <c r="H1015" s="5"/>
    </row>
    <row r="1016" spans="1:8" x14ac:dyDescent="0.25">
      <c r="A1016" t="str" cm="1">
        <f t="array" aca="1" ref="A1016" ca="1">"aK_SL_1_" &amp; INDIRECT("F" &amp; ROW(C1016) - 14) &amp; "_p"</f>
        <v>aK_SL_1_7_5_p</v>
      </c>
      <c r="B1016">
        <v>0</v>
      </c>
      <c r="C1016" t="s">
        <v>4</v>
      </c>
      <c r="F1016" s="5"/>
    </row>
    <row r="1017" spans="1:8" x14ac:dyDescent="0.25">
      <c r="A1017" t="str" cm="1">
        <f t="array" aca="1" ref="A1017" ca="1">"aK_SL_2_" &amp; INDIRECT("F" &amp; ROW(C1017) - 15) &amp; "_p"</f>
        <v>aK_SL_2_7_5_p</v>
      </c>
      <c r="B1017">
        <v>0</v>
      </c>
      <c r="C1017" t="s">
        <v>5</v>
      </c>
    </row>
    <row r="1018" spans="1:8" x14ac:dyDescent="0.25">
      <c r="A1018" t="str" cm="1">
        <f t="array" aca="1" ref="A1018" ca="1">"aK_SL_3_" &amp; INDIRECT("F" &amp; ROW(C1018) - 16) &amp; "_p"</f>
        <v>aK_SL_3_7_5_p</v>
      </c>
      <c r="B1018">
        <v>2</v>
      </c>
      <c r="C1018" t="s">
        <v>6</v>
      </c>
    </row>
    <row r="1019" spans="1:8" x14ac:dyDescent="0.25">
      <c r="A1019" s="5" t="s">
        <v>95</v>
      </c>
    </row>
    <row r="1020" spans="1:8" x14ac:dyDescent="0.25">
      <c r="A1020" t="str" cm="1">
        <f t="array" aca="1" ref="A1020" ca="1">"aK_DRO_1_" &amp; INDIRECT("F" &amp; ROW(C1020) - 18) &amp; "_p"</f>
        <v>aK_DRO_1_7_5_p</v>
      </c>
      <c r="B1020">
        <v>0</v>
      </c>
      <c r="C1020" t="s">
        <v>4</v>
      </c>
    </row>
    <row r="1021" spans="1:8" x14ac:dyDescent="0.25">
      <c r="A1021" t="str" cm="1">
        <f t="array" aca="1" ref="A1021" ca="1">"aK_DRO_2_" &amp; INDIRECT("F" &amp; ROW(C1021) - 19) &amp; "_p"</f>
        <v>aK_DRO_2_7_5_p</v>
      </c>
      <c r="B1021">
        <v>0</v>
      </c>
      <c r="C1021" t="s">
        <v>5</v>
      </c>
    </row>
    <row r="1022" spans="1:8" x14ac:dyDescent="0.25">
      <c r="A1022" t="str" cm="1">
        <f t="array" aca="1" ref="A1022" ca="1">"aK_DRO_3_" &amp; INDIRECT("F" &amp; ROW(C1022) - 20) &amp; "_p"</f>
        <v>aK_DRO_3_7_5_p</v>
      </c>
      <c r="B1022">
        <v>2</v>
      </c>
      <c r="C1022" t="s">
        <v>6</v>
      </c>
    </row>
    <row r="1023" spans="1:8" x14ac:dyDescent="0.25">
      <c r="A1023" s="5" t="s">
        <v>96</v>
      </c>
    </row>
    <row r="1024" spans="1:8" x14ac:dyDescent="0.25">
      <c r="A1024" t="str" cm="1">
        <f t="array" aca="1" ref="A1024" ca="1">"aK_CYC_1_" &amp; INDIRECT("F" &amp; ROW(C1024) - 22) &amp; "_p"</f>
        <v>aK_CYC_1_7_5_p</v>
      </c>
      <c r="B1024">
        <v>0.1</v>
      </c>
      <c r="C1024" t="s">
        <v>4</v>
      </c>
    </row>
    <row r="1025" spans="1:8" x14ac:dyDescent="0.25">
      <c r="A1025" t="str" cm="1">
        <f t="array" aca="1" ref="A1025" ca="1">"aK_CYC_2_" &amp; INDIRECT("F" &amp; ROW(C1025) - 23) &amp; "_p"</f>
        <v>aK_CYC_2_7_5_p</v>
      </c>
      <c r="B1025">
        <v>0</v>
      </c>
      <c r="C1025" t="s">
        <v>5</v>
      </c>
    </row>
    <row r="1026" spans="1:8" x14ac:dyDescent="0.25">
      <c r="A1026" t="str" cm="1">
        <f t="array" aca="1" ref="A1026" ca="1">"aK_CYC_3_" &amp; INDIRECT("F" &amp; ROW(C1026) - 24) &amp; "_p"</f>
        <v>aK_CYC_3_7_5_p</v>
      </c>
      <c r="B1026">
        <v>2</v>
      </c>
      <c r="C1026" t="s">
        <v>6</v>
      </c>
    </row>
    <row r="1027" spans="1:8" x14ac:dyDescent="0.25">
      <c r="A1027" s="31" t="s">
        <v>144</v>
      </c>
      <c r="B1027" s="31"/>
      <c r="C1027" s="31"/>
      <c r="D1027" s="25">
        <v>7</v>
      </c>
      <c r="E1027" s="25">
        <v>6</v>
      </c>
      <c r="F1027" s="25" t="s">
        <v>169</v>
      </c>
    </row>
    <row r="1028" spans="1:8" x14ac:dyDescent="0.25">
      <c r="A1028" s="5" t="s">
        <v>3</v>
      </c>
    </row>
    <row r="1029" spans="1:8" x14ac:dyDescent="0.25">
      <c r="A1029" t="str" cm="1">
        <f t="array" aca="1" ref="A1029" ca="1">"aK_T_1_" &amp; INDIRECT("F" &amp; ROW(C1029)-2) &amp; "_p"</f>
        <v>aK_T_1_7_6_p</v>
      </c>
      <c r="B1029">
        <v>0</v>
      </c>
      <c r="C1029" t="s">
        <v>4</v>
      </c>
    </row>
    <row r="1030" spans="1:8" x14ac:dyDescent="0.25">
      <c r="A1030" t="str" cm="1">
        <f t="array" aca="1" ref="A1030" ca="1">"aK_T_2_" &amp; INDIRECT("F" &amp; ROW(C1030)-3) &amp; "_p"</f>
        <v>aK_T_2_7_6_p</v>
      </c>
      <c r="B1030">
        <v>0</v>
      </c>
      <c r="C1030" t="s">
        <v>5</v>
      </c>
    </row>
    <row r="1031" spans="1:8" x14ac:dyDescent="0.25">
      <c r="A1031" t="str" cm="1">
        <f t="array" aca="1" ref="A1031" ca="1">"aK_T_3_" &amp; INDIRECT("F" &amp; ROW(C1031)-4) &amp; "_p"</f>
        <v>aK_T_3_7_6_p</v>
      </c>
      <c r="B1031">
        <v>2</v>
      </c>
      <c r="C1031" t="s">
        <v>6</v>
      </c>
    </row>
    <row r="1032" spans="1:8" x14ac:dyDescent="0.25">
      <c r="A1032" s="5" t="s">
        <v>8</v>
      </c>
    </row>
    <row r="1033" spans="1:8" x14ac:dyDescent="0.25">
      <c r="A1033" t="str" cm="1">
        <f t="array" aca="1" ref="A1033" ca="1">"aK_WS_1_" &amp; INDIRECT("F" &amp; ROW(C1033)-6) &amp; "_p"</f>
        <v>aK_WS_1_7_6_p</v>
      </c>
      <c r="B1033">
        <v>0</v>
      </c>
      <c r="C1033" t="s">
        <v>4</v>
      </c>
    </row>
    <row r="1034" spans="1:8" x14ac:dyDescent="0.25">
      <c r="A1034" t="str" cm="1">
        <f t="array" aca="1" ref="A1034" ca="1">"aK_WS_2_" &amp; INDIRECT("F" &amp; ROW(C1034)-7) &amp; "_p"</f>
        <v>aK_WS_2_7_6_p</v>
      </c>
      <c r="B1034">
        <v>0</v>
      </c>
      <c r="C1034" t="s">
        <v>5</v>
      </c>
    </row>
    <row r="1035" spans="1:8" x14ac:dyDescent="0.25">
      <c r="A1035" t="str" cm="1">
        <f t="array" aca="1" ref="A1035" ca="1">"aK_WS_3_" &amp; INDIRECT("F" &amp; ROW(C1035)-8) &amp; "_p"</f>
        <v>aK_WS_3_7_6_p</v>
      </c>
      <c r="B1035">
        <v>2</v>
      </c>
      <c r="C1035" t="s">
        <v>6</v>
      </c>
    </row>
    <row r="1036" spans="1:8" x14ac:dyDescent="0.25">
      <c r="A1036" s="5" t="s">
        <v>7</v>
      </c>
      <c r="G1036" s="5"/>
      <c r="H1036" s="5"/>
    </row>
    <row r="1037" spans="1:8" x14ac:dyDescent="0.25">
      <c r="A1037" t="str" cm="1">
        <f t="array" aca="1" ref="A1037" ca="1">"aK_PREC_1_" &amp; INDIRECT("F" &amp; ROW(C1037) - 10) &amp; "_p"</f>
        <v>aK_PREC_1_7_6_p</v>
      </c>
      <c r="B1037">
        <v>0</v>
      </c>
      <c r="C1037" t="s">
        <v>4</v>
      </c>
      <c r="F1037" s="5"/>
    </row>
    <row r="1038" spans="1:8" x14ac:dyDescent="0.25">
      <c r="A1038" t="str" cm="1">
        <f t="array" aca="1" ref="A1038" ca="1">"aK_PREC_2_" &amp; INDIRECT("F" &amp; ROW(C1038) - 11) &amp; "_p"</f>
        <v>aK_PREC_2_7_6_p</v>
      </c>
      <c r="B1038">
        <v>0</v>
      </c>
      <c r="C1038" t="s">
        <v>5</v>
      </c>
    </row>
    <row r="1039" spans="1:8" x14ac:dyDescent="0.25">
      <c r="A1039" t="str" cm="1">
        <f t="array" aca="1" ref="A1039" ca="1">"aK_PREC_3_" &amp; INDIRECT("F" &amp; ROW(C1039) - 12) &amp; "_p"</f>
        <v>aK_PREC_3_7_6_p</v>
      </c>
      <c r="B1039">
        <v>2</v>
      </c>
      <c r="C1039" t="s">
        <v>6</v>
      </c>
    </row>
    <row r="1040" spans="1:8" x14ac:dyDescent="0.25">
      <c r="A1040" s="5" t="s">
        <v>9</v>
      </c>
      <c r="G1040" s="5"/>
      <c r="H1040" s="5"/>
    </row>
    <row r="1041" spans="1:6" x14ac:dyDescent="0.25">
      <c r="A1041" t="str" cm="1">
        <f t="array" aca="1" ref="A1041" ca="1">"aK_SL_1_" &amp; INDIRECT("F" &amp; ROW(C1041) - 14) &amp; "_p"</f>
        <v>aK_SL_1_7_6_p</v>
      </c>
      <c r="B1041">
        <v>0</v>
      </c>
      <c r="C1041" t="s">
        <v>4</v>
      </c>
      <c r="F1041" s="5"/>
    </row>
    <row r="1042" spans="1:6" x14ac:dyDescent="0.25">
      <c r="A1042" t="str" cm="1">
        <f t="array" aca="1" ref="A1042" ca="1">"aK_SL_2_" &amp; INDIRECT("F" &amp; ROW(C1042) - 15) &amp; "_p"</f>
        <v>aK_SL_2_7_6_p</v>
      </c>
      <c r="B1042">
        <v>0</v>
      </c>
      <c r="C1042" t="s">
        <v>5</v>
      </c>
    </row>
    <row r="1043" spans="1:6" x14ac:dyDescent="0.25">
      <c r="A1043" t="str" cm="1">
        <f t="array" aca="1" ref="A1043" ca="1">"aK_SL_3_" &amp; INDIRECT("F" &amp; ROW(C1043) - 16) &amp; "_p"</f>
        <v>aK_SL_3_7_6_p</v>
      </c>
      <c r="B1043">
        <v>2</v>
      </c>
      <c r="C1043" t="s">
        <v>6</v>
      </c>
    </row>
    <row r="1044" spans="1:6" x14ac:dyDescent="0.25">
      <c r="A1044" s="5" t="s">
        <v>95</v>
      </c>
    </row>
    <row r="1045" spans="1:6" x14ac:dyDescent="0.25">
      <c r="A1045" t="str" cm="1">
        <f t="array" aca="1" ref="A1045" ca="1">"aK_DRO_1_" &amp; INDIRECT("F" &amp; ROW(C1045) - 18) &amp; "_p"</f>
        <v>aK_DRO_1_7_6_p</v>
      </c>
      <c r="B1045">
        <v>0</v>
      </c>
      <c r="C1045" t="s">
        <v>4</v>
      </c>
    </row>
    <row r="1046" spans="1:6" x14ac:dyDescent="0.25">
      <c r="A1046" t="str" cm="1">
        <f t="array" aca="1" ref="A1046" ca="1">"aK_DRO_2_" &amp; INDIRECT("F" &amp; ROW(C1046) - 19) &amp; "_p"</f>
        <v>aK_DRO_2_7_6_p</v>
      </c>
      <c r="B1046">
        <v>0</v>
      </c>
      <c r="C1046" t="s">
        <v>5</v>
      </c>
    </row>
    <row r="1047" spans="1:6" x14ac:dyDescent="0.25">
      <c r="A1047" t="str" cm="1">
        <f t="array" aca="1" ref="A1047" ca="1">"aK_DRO_3_" &amp; INDIRECT("F" &amp; ROW(C1047) - 20) &amp; "_p"</f>
        <v>aK_DRO_3_7_6_p</v>
      </c>
      <c r="B1047">
        <v>2</v>
      </c>
      <c r="C1047" t="s">
        <v>6</v>
      </c>
    </row>
    <row r="1048" spans="1:6" x14ac:dyDescent="0.25">
      <c r="A1048" s="5" t="s">
        <v>96</v>
      </c>
    </row>
    <row r="1049" spans="1:6" x14ac:dyDescent="0.25">
      <c r="A1049" t="str" cm="1">
        <f t="array" aca="1" ref="A1049" ca="1">"aK_CYC_1_" &amp; INDIRECT("F" &amp; ROW(C1049) - 22) &amp; "_p"</f>
        <v>aK_CYC_1_7_6_p</v>
      </c>
      <c r="B1049">
        <v>0.1</v>
      </c>
      <c r="C1049" t="s">
        <v>4</v>
      </c>
    </row>
    <row r="1050" spans="1:6" x14ac:dyDescent="0.25">
      <c r="A1050" t="str" cm="1">
        <f t="array" aca="1" ref="A1050" ca="1">"aK_CYC_2_" &amp; INDIRECT("F" &amp; ROW(C1050) - 23) &amp; "_p"</f>
        <v>aK_CYC_2_7_6_p</v>
      </c>
      <c r="B1050">
        <v>0</v>
      </c>
      <c r="C1050" t="s">
        <v>5</v>
      </c>
    </row>
    <row r="1051" spans="1:6" x14ac:dyDescent="0.25">
      <c r="A1051" t="str" cm="1">
        <f t="array" aca="1" ref="A1051" ca="1">"aK_CYC_3_" &amp; INDIRECT("F" &amp; ROW(C1051) - 24) &amp; "_p"</f>
        <v>aK_CYC_3_7_6_p</v>
      </c>
      <c r="B1051">
        <v>2</v>
      </c>
      <c r="C1051" t="s">
        <v>6</v>
      </c>
    </row>
    <row r="1052" spans="1:6" x14ac:dyDescent="0.25">
      <c r="A1052" s="31" t="s">
        <v>145</v>
      </c>
      <c r="B1052" s="31"/>
      <c r="C1052" s="31"/>
      <c r="D1052" s="25">
        <v>8</v>
      </c>
      <c r="E1052" s="25">
        <v>1</v>
      </c>
      <c r="F1052" s="25" t="s">
        <v>168</v>
      </c>
    </row>
    <row r="1053" spans="1:6" x14ac:dyDescent="0.25">
      <c r="A1053" s="5" t="s">
        <v>3</v>
      </c>
    </row>
    <row r="1054" spans="1:6" x14ac:dyDescent="0.25">
      <c r="A1054" t="str" cm="1">
        <f t="array" aca="1" ref="A1054" ca="1">"aK_T_1_" &amp; INDIRECT("F" &amp; ROW(C1054)-2) &amp; "_p"</f>
        <v>aK_T_1_8_1_p</v>
      </c>
      <c r="B1054">
        <v>0</v>
      </c>
      <c r="C1054" t="s">
        <v>4</v>
      </c>
    </row>
    <row r="1055" spans="1:6" x14ac:dyDescent="0.25">
      <c r="A1055" t="str" cm="1">
        <f t="array" aca="1" ref="A1055" ca="1">"aK_T_2_" &amp; INDIRECT("F" &amp; ROW(C1055)-3) &amp; "_p"</f>
        <v>aK_T_2_8_1_p</v>
      </c>
      <c r="B1055">
        <v>0</v>
      </c>
      <c r="C1055" t="s">
        <v>5</v>
      </c>
    </row>
    <row r="1056" spans="1:6" x14ac:dyDescent="0.25">
      <c r="A1056" t="str" cm="1">
        <f t="array" aca="1" ref="A1056" ca="1">"aK_T_3_" &amp; INDIRECT("F" &amp; ROW(C1056)-4) &amp; "_p"</f>
        <v>aK_T_3_8_1_p</v>
      </c>
      <c r="B1056">
        <v>2</v>
      </c>
      <c r="C1056" t="s">
        <v>6</v>
      </c>
    </row>
    <row r="1057" spans="1:8" x14ac:dyDescent="0.25">
      <c r="A1057" s="5" t="s">
        <v>8</v>
      </c>
    </row>
    <row r="1058" spans="1:8" x14ac:dyDescent="0.25">
      <c r="A1058" t="str" cm="1">
        <f t="array" aca="1" ref="A1058" ca="1">"aK_WS_1_" &amp; INDIRECT("F" &amp; ROW(C1058)-6) &amp; "_p"</f>
        <v>aK_WS_1_8_1_p</v>
      </c>
      <c r="B1058">
        <v>0</v>
      </c>
      <c r="C1058" t="s">
        <v>4</v>
      </c>
    </row>
    <row r="1059" spans="1:8" x14ac:dyDescent="0.25">
      <c r="A1059" t="str" cm="1">
        <f t="array" aca="1" ref="A1059" ca="1">"aK_WS_2_" &amp; INDIRECT("F" &amp; ROW(C1059)-7) &amp; "_p"</f>
        <v>aK_WS_2_8_1_p</v>
      </c>
      <c r="B1059">
        <v>0</v>
      </c>
      <c r="C1059" t="s">
        <v>5</v>
      </c>
    </row>
    <row r="1060" spans="1:8" x14ac:dyDescent="0.25">
      <c r="A1060" t="str" cm="1">
        <f t="array" aca="1" ref="A1060" ca="1">"aK_WS_3_" &amp; INDIRECT("F" &amp; ROW(C1060)-8) &amp; "_p"</f>
        <v>aK_WS_3_8_1_p</v>
      </c>
      <c r="B1060">
        <v>2</v>
      </c>
      <c r="C1060" t="s">
        <v>6</v>
      </c>
    </row>
    <row r="1061" spans="1:8" x14ac:dyDescent="0.25">
      <c r="A1061" s="5" t="s">
        <v>7</v>
      </c>
      <c r="G1061" s="5"/>
      <c r="H1061" s="5"/>
    </row>
    <row r="1062" spans="1:8" x14ac:dyDescent="0.25">
      <c r="A1062" t="str" cm="1">
        <f t="array" aca="1" ref="A1062" ca="1">"aK_PREC_1_" &amp; INDIRECT("F" &amp; ROW(C1062) - 10) &amp; "_p"</f>
        <v>aK_PREC_1_8_1_p</v>
      </c>
      <c r="B1062">
        <v>0</v>
      </c>
      <c r="C1062" t="s">
        <v>4</v>
      </c>
      <c r="F1062" s="5"/>
    </row>
    <row r="1063" spans="1:8" x14ac:dyDescent="0.25">
      <c r="A1063" t="str" cm="1">
        <f t="array" aca="1" ref="A1063" ca="1">"aK_PREC_2_" &amp; INDIRECT("F" &amp; ROW(C1063) - 11) &amp; "_p"</f>
        <v>aK_PREC_2_8_1_p</v>
      </c>
      <c r="B1063">
        <v>0</v>
      </c>
      <c r="C1063" t="s">
        <v>5</v>
      </c>
    </row>
    <row r="1064" spans="1:8" x14ac:dyDescent="0.25">
      <c r="A1064" t="str" cm="1">
        <f t="array" aca="1" ref="A1064" ca="1">"aK_PREC_3_" &amp; INDIRECT("F" &amp; ROW(C1064) - 12) &amp; "_p"</f>
        <v>aK_PREC_3_8_1_p</v>
      </c>
      <c r="B1064">
        <v>2</v>
      </c>
      <c r="C1064" t="s">
        <v>6</v>
      </c>
    </row>
    <row r="1065" spans="1:8" x14ac:dyDescent="0.25">
      <c r="A1065" s="5" t="s">
        <v>9</v>
      </c>
      <c r="G1065" s="5"/>
      <c r="H1065" s="5"/>
    </row>
    <row r="1066" spans="1:8" x14ac:dyDescent="0.25">
      <c r="A1066" t="str" cm="1">
        <f t="array" aca="1" ref="A1066" ca="1">"aK_SL_1_" &amp; INDIRECT("F" &amp; ROW(C1066) - 14) &amp; "_p"</f>
        <v>aK_SL_1_8_1_p</v>
      </c>
      <c r="B1066">
        <v>0</v>
      </c>
      <c r="C1066" t="s">
        <v>4</v>
      </c>
      <c r="F1066" s="5"/>
    </row>
    <row r="1067" spans="1:8" x14ac:dyDescent="0.25">
      <c r="A1067" t="str" cm="1">
        <f t="array" aca="1" ref="A1067" ca="1">"aK_SL_2_" &amp; INDIRECT("F" &amp; ROW(C1067) - 15) &amp; "_p"</f>
        <v>aK_SL_2_8_1_p</v>
      </c>
      <c r="B1067">
        <v>0</v>
      </c>
      <c r="C1067" t="s">
        <v>5</v>
      </c>
    </row>
    <row r="1068" spans="1:8" x14ac:dyDescent="0.25">
      <c r="A1068" t="str" cm="1">
        <f t="array" aca="1" ref="A1068" ca="1">"aK_SL_3_" &amp; INDIRECT("F" &amp; ROW(C1068) - 16) &amp; "_p"</f>
        <v>aK_SL_3_8_1_p</v>
      </c>
      <c r="B1068">
        <v>2</v>
      </c>
      <c r="C1068" t="s">
        <v>6</v>
      </c>
    </row>
    <row r="1069" spans="1:8" x14ac:dyDescent="0.25">
      <c r="A1069" s="5" t="s">
        <v>95</v>
      </c>
    </row>
    <row r="1070" spans="1:8" x14ac:dyDescent="0.25">
      <c r="A1070" t="str" cm="1">
        <f t="array" aca="1" ref="A1070" ca="1">"aK_DRO_1_" &amp; INDIRECT("F" &amp; ROW(C1070) - 18) &amp; "_p"</f>
        <v>aK_DRO_1_8_1_p</v>
      </c>
      <c r="B1070">
        <v>0</v>
      </c>
      <c r="C1070" t="s">
        <v>4</v>
      </c>
    </row>
    <row r="1071" spans="1:8" x14ac:dyDescent="0.25">
      <c r="A1071" t="str" cm="1">
        <f t="array" aca="1" ref="A1071" ca="1">"aK_DRO_2_" &amp; INDIRECT("F" &amp; ROW(C1071) - 19) &amp; "_p"</f>
        <v>aK_DRO_2_8_1_p</v>
      </c>
      <c r="B1071">
        <v>0</v>
      </c>
      <c r="C1071" t="s">
        <v>5</v>
      </c>
    </row>
    <row r="1072" spans="1:8" x14ac:dyDescent="0.25">
      <c r="A1072" t="str" cm="1">
        <f t="array" aca="1" ref="A1072" ca="1">"aK_DRO_3_" &amp; INDIRECT("F" &amp; ROW(C1072) - 20) &amp; "_p"</f>
        <v>aK_DRO_3_8_1_p</v>
      </c>
      <c r="B1072">
        <v>2</v>
      </c>
      <c r="C1072" t="s">
        <v>6</v>
      </c>
    </row>
    <row r="1073" spans="1:8" x14ac:dyDescent="0.25">
      <c r="A1073" s="5" t="s">
        <v>96</v>
      </c>
    </row>
    <row r="1074" spans="1:8" x14ac:dyDescent="0.25">
      <c r="A1074" t="str" cm="1">
        <f t="array" aca="1" ref="A1074" ca="1">"aK_CYC_1_" &amp; INDIRECT("F" &amp; ROW(C1074) - 22) &amp; "_p"</f>
        <v>aK_CYC_1_8_1_p</v>
      </c>
      <c r="B1074">
        <v>0.1</v>
      </c>
      <c r="C1074" t="s">
        <v>4</v>
      </c>
    </row>
    <row r="1075" spans="1:8" x14ac:dyDescent="0.25">
      <c r="A1075" t="str" cm="1">
        <f t="array" aca="1" ref="A1075" ca="1">"aK_CYC_2_" &amp; INDIRECT("F" &amp; ROW(C1075) - 23) &amp; "_p"</f>
        <v>aK_CYC_2_8_1_p</v>
      </c>
      <c r="B1075">
        <v>0</v>
      </c>
      <c r="C1075" t="s">
        <v>5</v>
      </c>
    </row>
    <row r="1076" spans="1:8" x14ac:dyDescent="0.25">
      <c r="A1076" t="str" cm="1">
        <f t="array" aca="1" ref="A1076" ca="1">"aK_CYC_3_" &amp; INDIRECT("F" &amp; ROW(C1076) - 24) &amp; "_p"</f>
        <v>aK_CYC_3_8_1_p</v>
      </c>
      <c r="B1076">
        <v>2</v>
      </c>
      <c r="C1076" t="s">
        <v>6</v>
      </c>
    </row>
    <row r="1077" spans="1:8" x14ac:dyDescent="0.25">
      <c r="A1077" s="31" t="s">
        <v>146</v>
      </c>
      <c r="B1077" s="31"/>
      <c r="C1077" s="31"/>
      <c r="D1077" s="25">
        <v>8</v>
      </c>
      <c r="E1077" s="25">
        <v>2</v>
      </c>
      <c r="F1077" s="25" t="s">
        <v>167</v>
      </c>
    </row>
    <row r="1078" spans="1:8" x14ac:dyDescent="0.25">
      <c r="A1078" s="5" t="s">
        <v>3</v>
      </c>
    </row>
    <row r="1079" spans="1:8" x14ac:dyDescent="0.25">
      <c r="A1079" t="str" cm="1">
        <f t="array" aca="1" ref="A1079" ca="1">"aK_T_1_" &amp; INDIRECT("F" &amp; ROW(C1079)-2) &amp; "_p"</f>
        <v>aK_T_1_8_2_p</v>
      </c>
      <c r="B1079">
        <v>0</v>
      </c>
      <c r="C1079" t="s">
        <v>4</v>
      </c>
    </row>
    <row r="1080" spans="1:8" x14ac:dyDescent="0.25">
      <c r="A1080" t="str" cm="1">
        <f t="array" aca="1" ref="A1080" ca="1">"aK_T_2_" &amp; INDIRECT("F" &amp; ROW(C1080)-3) &amp; "_p"</f>
        <v>aK_T_2_8_2_p</v>
      </c>
      <c r="B1080">
        <v>0</v>
      </c>
      <c r="C1080" t="s">
        <v>5</v>
      </c>
    </row>
    <row r="1081" spans="1:8" x14ac:dyDescent="0.25">
      <c r="A1081" t="str" cm="1">
        <f t="array" aca="1" ref="A1081" ca="1">"aK_T_3_" &amp; INDIRECT("F" &amp; ROW(C1081)-4) &amp; "_p"</f>
        <v>aK_T_3_8_2_p</v>
      </c>
      <c r="B1081">
        <v>2</v>
      </c>
      <c r="C1081" t="s">
        <v>6</v>
      </c>
    </row>
    <row r="1082" spans="1:8" x14ac:dyDescent="0.25">
      <c r="A1082" s="5" t="s">
        <v>8</v>
      </c>
    </row>
    <row r="1083" spans="1:8" x14ac:dyDescent="0.25">
      <c r="A1083" t="str" cm="1">
        <f t="array" aca="1" ref="A1083" ca="1">"aK_WS_1_" &amp; INDIRECT("F" &amp; ROW(C1083)-6) &amp; "_p"</f>
        <v>aK_WS_1_8_2_p</v>
      </c>
      <c r="B1083">
        <v>0</v>
      </c>
      <c r="C1083" t="s">
        <v>4</v>
      </c>
    </row>
    <row r="1084" spans="1:8" x14ac:dyDescent="0.25">
      <c r="A1084" t="str" cm="1">
        <f t="array" aca="1" ref="A1084" ca="1">"aK_WS_2_" &amp; INDIRECT("F" &amp; ROW(C1084)-7) &amp; "_p"</f>
        <v>aK_WS_2_8_2_p</v>
      </c>
      <c r="B1084">
        <v>0</v>
      </c>
      <c r="C1084" t="s">
        <v>5</v>
      </c>
    </row>
    <row r="1085" spans="1:8" x14ac:dyDescent="0.25">
      <c r="A1085" t="str" cm="1">
        <f t="array" aca="1" ref="A1085" ca="1">"aK_WS_3_" &amp; INDIRECT("F" &amp; ROW(C1085)-8) &amp; "_p"</f>
        <v>aK_WS_3_8_2_p</v>
      </c>
      <c r="B1085">
        <v>2</v>
      </c>
      <c r="C1085" t="s">
        <v>6</v>
      </c>
    </row>
    <row r="1086" spans="1:8" x14ac:dyDescent="0.25">
      <c r="A1086" s="5" t="s">
        <v>7</v>
      </c>
      <c r="G1086" s="5"/>
      <c r="H1086" s="5"/>
    </row>
    <row r="1087" spans="1:8" x14ac:dyDescent="0.25">
      <c r="A1087" t="str" cm="1">
        <f t="array" aca="1" ref="A1087" ca="1">"aK_PREC_1_" &amp; INDIRECT("F" &amp; ROW(C1087) - 10) &amp; "_p"</f>
        <v>aK_PREC_1_8_2_p</v>
      </c>
      <c r="B1087">
        <v>0</v>
      </c>
      <c r="C1087" t="s">
        <v>4</v>
      </c>
      <c r="F1087" s="5"/>
    </row>
    <row r="1088" spans="1:8" x14ac:dyDescent="0.25">
      <c r="A1088" t="str" cm="1">
        <f t="array" aca="1" ref="A1088" ca="1">"aK_PREC_2_" &amp; INDIRECT("F" &amp; ROW(C1088) - 11) &amp; "_p"</f>
        <v>aK_PREC_2_8_2_p</v>
      </c>
      <c r="B1088">
        <v>0</v>
      </c>
      <c r="C1088" t="s">
        <v>5</v>
      </c>
    </row>
    <row r="1089" spans="1:8" x14ac:dyDescent="0.25">
      <c r="A1089" t="str" cm="1">
        <f t="array" aca="1" ref="A1089" ca="1">"aK_PREC_3_" &amp; INDIRECT("F" &amp; ROW(C1089) - 12) &amp; "_p"</f>
        <v>aK_PREC_3_8_2_p</v>
      </c>
      <c r="B1089">
        <v>2</v>
      </c>
      <c r="C1089" t="s">
        <v>6</v>
      </c>
    </row>
    <row r="1090" spans="1:8" x14ac:dyDescent="0.25">
      <c r="A1090" s="5" t="s">
        <v>9</v>
      </c>
      <c r="G1090" s="5"/>
      <c r="H1090" s="5"/>
    </row>
    <row r="1091" spans="1:8" x14ac:dyDescent="0.25">
      <c r="A1091" t="str" cm="1">
        <f t="array" aca="1" ref="A1091" ca="1">"aK_SL_1_" &amp; INDIRECT("F" &amp; ROW(C1091) - 14) &amp; "_p"</f>
        <v>aK_SL_1_8_2_p</v>
      </c>
      <c r="B1091">
        <v>0</v>
      </c>
      <c r="C1091" t="s">
        <v>4</v>
      </c>
      <c r="F1091" s="5"/>
    </row>
    <row r="1092" spans="1:8" x14ac:dyDescent="0.25">
      <c r="A1092" t="str" cm="1">
        <f t="array" aca="1" ref="A1092" ca="1">"aK_SL_2_" &amp; INDIRECT("F" &amp; ROW(C1092) - 15) &amp; "_p"</f>
        <v>aK_SL_2_8_2_p</v>
      </c>
      <c r="B1092">
        <v>0</v>
      </c>
      <c r="C1092" t="s">
        <v>5</v>
      </c>
    </row>
    <row r="1093" spans="1:8" x14ac:dyDescent="0.25">
      <c r="A1093" t="str" cm="1">
        <f t="array" aca="1" ref="A1093" ca="1">"aK_SL_3_" &amp; INDIRECT("F" &amp; ROW(C1093) - 16) &amp; "_p"</f>
        <v>aK_SL_3_8_2_p</v>
      </c>
      <c r="B1093">
        <v>2</v>
      </c>
      <c r="C1093" t="s">
        <v>6</v>
      </c>
    </row>
    <row r="1094" spans="1:8" x14ac:dyDescent="0.25">
      <c r="A1094" s="5" t="s">
        <v>95</v>
      </c>
    </row>
    <row r="1095" spans="1:8" x14ac:dyDescent="0.25">
      <c r="A1095" t="str" cm="1">
        <f t="array" aca="1" ref="A1095" ca="1">"aK_DRO_1_" &amp; INDIRECT("F" &amp; ROW(C1095) - 18) &amp; "_p"</f>
        <v>aK_DRO_1_8_2_p</v>
      </c>
      <c r="B1095">
        <v>0</v>
      </c>
      <c r="C1095" t="s">
        <v>4</v>
      </c>
    </row>
    <row r="1096" spans="1:8" x14ac:dyDescent="0.25">
      <c r="A1096" t="str" cm="1">
        <f t="array" aca="1" ref="A1096" ca="1">"aK_DRO_2_" &amp; INDIRECT("F" &amp; ROW(C1096) - 19) &amp; "_p"</f>
        <v>aK_DRO_2_8_2_p</v>
      </c>
      <c r="B1096">
        <v>0</v>
      </c>
      <c r="C1096" t="s">
        <v>5</v>
      </c>
    </row>
    <row r="1097" spans="1:8" x14ac:dyDescent="0.25">
      <c r="A1097" t="str" cm="1">
        <f t="array" aca="1" ref="A1097" ca="1">"aK_DRO_3_" &amp; INDIRECT("F" &amp; ROW(C1097) - 20) &amp; "_p"</f>
        <v>aK_DRO_3_8_2_p</v>
      </c>
      <c r="B1097">
        <v>2</v>
      </c>
      <c r="C1097" t="s">
        <v>6</v>
      </c>
    </row>
    <row r="1098" spans="1:8" x14ac:dyDescent="0.25">
      <c r="A1098" s="5" t="s">
        <v>96</v>
      </c>
    </row>
    <row r="1099" spans="1:8" x14ac:dyDescent="0.25">
      <c r="A1099" t="str" cm="1">
        <f t="array" aca="1" ref="A1099" ca="1">"aK_CYC_1_" &amp; INDIRECT("F" &amp; ROW(C1099) - 22) &amp; "_p"</f>
        <v>aK_CYC_1_8_2_p</v>
      </c>
      <c r="B1099">
        <v>0.1</v>
      </c>
      <c r="C1099" t="s">
        <v>4</v>
      </c>
    </row>
    <row r="1100" spans="1:8" x14ac:dyDescent="0.25">
      <c r="A1100" t="str" cm="1">
        <f t="array" aca="1" ref="A1100" ca="1">"aK_CYC_2_" &amp; INDIRECT("F" &amp; ROW(C1100) - 23) &amp; "_p"</f>
        <v>aK_CYC_2_8_2_p</v>
      </c>
      <c r="B1100">
        <v>0</v>
      </c>
      <c r="C1100" t="s">
        <v>5</v>
      </c>
    </row>
    <row r="1101" spans="1:8" x14ac:dyDescent="0.25">
      <c r="A1101" t="str" cm="1">
        <f t="array" aca="1" ref="A1101" ca="1">"aK_CYC_3_" &amp; INDIRECT("F" &amp; ROW(C1101) - 24) &amp; "_p"</f>
        <v>aK_CYC_3_8_2_p</v>
      </c>
      <c r="B1101">
        <v>2</v>
      </c>
      <c r="C1101" t="s">
        <v>6</v>
      </c>
    </row>
    <row r="1102" spans="1:8" x14ac:dyDescent="0.25">
      <c r="A1102" s="31" t="s">
        <v>147</v>
      </c>
      <c r="B1102" s="31"/>
      <c r="C1102" s="31"/>
      <c r="D1102" s="25">
        <v>8</v>
      </c>
      <c r="E1102" s="25">
        <v>3</v>
      </c>
      <c r="F1102" s="25" t="s">
        <v>166</v>
      </c>
    </row>
    <row r="1103" spans="1:8" x14ac:dyDescent="0.25">
      <c r="A1103" s="5" t="s">
        <v>3</v>
      </c>
    </row>
    <row r="1104" spans="1:8" x14ac:dyDescent="0.25">
      <c r="A1104" t="str" cm="1">
        <f t="array" aca="1" ref="A1104" ca="1">"aK_T_1_" &amp; INDIRECT("F" &amp; ROW(C1104)-2) &amp; "_p"</f>
        <v>aK_T_1_8_3_p</v>
      </c>
      <c r="B1104">
        <v>0</v>
      </c>
      <c r="C1104" t="s">
        <v>4</v>
      </c>
    </row>
    <row r="1105" spans="1:8" x14ac:dyDescent="0.25">
      <c r="A1105" t="str" cm="1">
        <f t="array" aca="1" ref="A1105" ca="1">"aK_T_2_" &amp; INDIRECT("F" &amp; ROW(C1105)-3) &amp; "_p"</f>
        <v>aK_T_2_8_3_p</v>
      </c>
      <c r="B1105">
        <v>0</v>
      </c>
      <c r="C1105" t="s">
        <v>5</v>
      </c>
    </row>
    <row r="1106" spans="1:8" x14ac:dyDescent="0.25">
      <c r="A1106" t="str" cm="1">
        <f t="array" aca="1" ref="A1106" ca="1">"aK_T_3_" &amp; INDIRECT("F" &amp; ROW(C1106)-4) &amp; "_p"</f>
        <v>aK_T_3_8_3_p</v>
      </c>
      <c r="B1106">
        <v>2</v>
      </c>
      <c r="C1106" t="s">
        <v>6</v>
      </c>
    </row>
    <row r="1107" spans="1:8" x14ac:dyDescent="0.25">
      <c r="A1107" s="5" t="s">
        <v>8</v>
      </c>
    </row>
    <row r="1108" spans="1:8" x14ac:dyDescent="0.25">
      <c r="A1108" t="str" cm="1">
        <f t="array" aca="1" ref="A1108" ca="1">"aK_WS_1_" &amp; INDIRECT("F" &amp; ROW(C1108)-6) &amp; "_p"</f>
        <v>aK_WS_1_8_3_p</v>
      </c>
      <c r="B1108">
        <v>0</v>
      </c>
      <c r="C1108" t="s">
        <v>4</v>
      </c>
    </row>
    <row r="1109" spans="1:8" x14ac:dyDescent="0.25">
      <c r="A1109" t="str" cm="1">
        <f t="array" aca="1" ref="A1109" ca="1">"aK_WS_2_" &amp; INDIRECT("F" &amp; ROW(C1109)-7) &amp; "_p"</f>
        <v>aK_WS_2_8_3_p</v>
      </c>
      <c r="B1109">
        <v>0</v>
      </c>
      <c r="C1109" t="s">
        <v>5</v>
      </c>
    </row>
    <row r="1110" spans="1:8" x14ac:dyDescent="0.25">
      <c r="A1110" t="str" cm="1">
        <f t="array" aca="1" ref="A1110" ca="1">"aK_WS_3_" &amp; INDIRECT("F" &amp; ROW(C1110)-8) &amp; "_p"</f>
        <v>aK_WS_3_8_3_p</v>
      </c>
      <c r="B1110">
        <v>2</v>
      </c>
      <c r="C1110" t="s">
        <v>6</v>
      </c>
    </row>
    <row r="1111" spans="1:8" x14ac:dyDescent="0.25">
      <c r="A1111" s="5" t="s">
        <v>7</v>
      </c>
      <c r="G1111" s="5"/>
      <c r="H1111" s="5"/>
    </row>
    <row r="1112" spans="1:8" x14ac:dyDescent="0.25">
      <c r="A1112" t="str" cm="1">
        <f t="array" aca="1" ref="A1112" ca="1">"aK_PREC_1_" &amp; INDIRECT("F" &amp; ROW(C1112) - 10) &amp; "_p"</f>
        <v>aK_PREC_1_8_3_p</v>
      </c>
      <c r="B1112">
        <v>0</v>
      </c>
      <c r="C1112" t="s">
        <v>4</v>
      </c>
      <c r="F1112" s="5"/>
    </row>
    <row r="1113" spans="1:8" x14ac:dyDescent="0.25">
      <c r="A1113" t="str" cm="1">
        <f t="array" aca="1" ref="A1113" ca="1">"aK_PREC_2_" &amp; INDIRECT("F" &amp; ROW(C1113) - 11) &amp; "_p"</f>
        <v>aK_PREC_2_8_3_p</v>
      </c>
      <c r="B1113">
        <v>0</v>
      </c>
      <c r="C1113" t="s">
        <v>5</v>
      </c>
    </row>
    <row r="1114" spans="1:8" x14ac:dyDescent="0.25">
      <c r="A1114" t="str" cm="1">
        <f t="array" aca="1" ref="A1114" ca="1">"aK_PREC_3_" &amp; INDIRECT("F" &amp; ROW(C1114) - 12) &amp; "_p"</f>
        <v>aK_PREC_3_8_3_p</v>
      </c>
      <c r="B1114">
        <v>2</v>
      </c>
      <c r="C1114" t="s">
        <v>6</v>
      </c>
    </row>
    <row r="1115" spans="1:8" x14ac:dyDescent="0.25">
      <c r="A1115" s="5" t="s">
        <v>9</v>
      </c>
      <c r="G1115" s="5"/>
      <c r="H1115" s="5"/>
    </row>
    <row r="1116" spans="1:8" x14ac:dyDescent="0.25">
      <c r="A1116" t="str" cm="1">
        <f t="array" aca="1" ref="A1116" ca="1">"aK_SL_1_" &amp; INDIRECT("F" &amp; ROW(C1116) - 14) &amp; "_p"</f>
        <v>aK_SL_1_8_3_p</v>
      </c>
      <c r="B1116">
        <v>0</v>
      </c>
      <c r="C1116" t="s">
        <v>4</v>
      </c>
      <c r="F1116" s="5"/>
    </row>
    <row r="1117" spans="1:8" x14ac:dyDescent="0.25">
      <c r="A1117" t="str" cm="1">
        <f t="array" aca="1" ref="A1117" ca="1">"aK_SL_2_" &amp; INDIRECT("F" &amp; ROW(C1117) - 15) &amp; "_p"</f>
        <v>aK_SL_2_8_3_p</v>
      </c>
      <c r="B1117">
        <v>0</v>
      </c>
      <c r="C1117" t="s">
        <v>5</v>
      </c>
    </row>
    <row r="1118" spans="1:8" x14ac:dyDescent="0.25">
      <c r="A1118" t="str" cm="1">
        <f t="array" aca="1" ref="A1118" ca="1">"aK_SL_3_" &amp; INDIRECT("F" &amp; ROW(C1118) - 16) &amp; "_p"</f>
        <v>aK_SL_3_8_3_p</v>
      </c>
      <c r="B1118">
        <v>2</v>
      </c>
      <c r="C1118" t="s">
        <v>6</v>
      </c>
    </row>
    <row r="1119" spans="1:8" x14ac:dyDescent="0.25">
      <c r="A1119" s="5" t="s">
        <v>95</v>
      </c>
    </row>
    <row r="1120" spans="1:8" x14ac:dyDescent="0.25">
      <c r="A1120" t="str" cm="1">
        <f t="array" aca="1" ref="A1120" ca="1">"aK_DRO_1_" &amp; INDIRECT("F" &amp; ROW(C1120) - 18) &amp; "_p"</f>
        <v>aK_DRO_1_8_3_p</v>
      </c>
      <c r="B1120">
        <v>0</v>
      </c>
      <c r="C1120" t="s">
        <v>4</v>
      </c>
    </row>
    <row r="1121" spans="1:8" x14ac:dyDescent="0.25">
      <c r="A1121" t="str" cm="1">
        <f t="array" aca="1" ref="A1121" ca="1">"aK_DRO_2_" &amp; INDIRECT("F" &amp; ROW(C1121) - 19) &amp; "_p"</f>
        <v>aK_DRO_2_8_3_p</v>
      </c>
      <c r="B1121">
        <v>0</v>
      </c>
      <c r="C1121" t="s">
        <v>5</v>
      </c>
    </row>
    <row r="1122" spans="1:8" x14ac:dyDescent="0.25">
      <c r="A1122" t="str" cm="1">
        <f t="array" aca="1" ref="A1122" ca="1">"aK_DRO_3_" &amp; INDIRECT("F" &amp; ROW(C1122) - 20) &amp; "_p"</f>
        <v>aK_DRO_3_8_3_p</v>
      </c>
      <c r="B1122">
        <v>2</v>
      </c>
      <c r="C1122" t="s">
        <v>6</v>
      </c>
    </row>
    <row r="1123" spans="1:8" x14ac:dyDescent="0.25">
      <c r="A1123" s="5" t="s">
        <v>96</v>
      </c>
    </row>
    <row r="1124" spans="1:8" x14ac:dyDescent="0.25">
      <c r="A1124" t="str" cm="1">
        <f t="array" aca="1" ref="A1124" ca="1">"aK_CYC_1_" &amp; INDIRECT("F" &amp; ROW(C1124) - 22) &amp; "_p"</f>
        <v>aK_CYC_1_8_3_p</v>
      </c>
      <c r="B1124">
        <v>0.1</v>
      </c>
      <c r="C1124" t="s">
        <v>4</v>
      </c>
    </row>
    <row r="1125" spans="1:8" x14ac:dyDescent="0.25">
      <c r="A1125" t="str" cm="1">
        <f t="array" aca="1" ref="A1125" ca="1">"aK_CYC_2_" &amp; INDIRECT("F" &amp; ROW(C1125) - 23) &amp; "_p"</f>
        <v>aK_CYC_2_8_3_p</v>
      </c>
      <c r="B1125">
        <v>0</v>
      </c>
      <c r="C1125" t="s">
        <v>5</v>
      </c>
    </row>
    <row r="1126" spans="1:8" x14ac:dyDescent="0.25">
      <c r="A1126" t="str" cm="1">
        <f t="array" aca="1" ref="A1126" ca="1">"aK_CYC_3_" &amp; INDIRECT("F" &amp; ROW(C1126) - 24) &amp; "_p"</f>
        <v>aK_CYC_3_8_3_p</v>
      </c>
      <c r="B1126">
        <v>2</v>
      </c>
      <c r="C1126" t="s">
        <v>6</v>
      </c>
    </row>
    <row r="1127" spans="1:8" x14ac:dyDescent="0.25">
      <c r="A1127" s="31" t="s">
        <v>148</v>
      </c>
      <c r="B1127" s="31"/>
      <c r="C1127" s="31"/>
      <c r="D1127" s="25">
        <v>8</v>
      </c>
      <c r="E1127" s="25">
        <v>4</v>
      </c>
      <c r="F1127" s="25" t="s">
        <v>165</v>
      </c>
    </row>
    <row r="1128" spans="1:8" x14ac:dyDescent="0.25">
      <c r="A1128" s="5" t="s">
        <v>3</v>
      </c>
    </row>
    <row r="1129" spans="1:8" x14ac:dyDescent="0.25">
      <c r="A1129" t="str" cm="1">
        <f t="array" aca="1" ref="A1129" ca="1">"aK_T_1_" &amp; INDIRECT("F" &amp; ROW(C1129)-2) &amp; "_p"</f>
        <v>aK_T_1_8_4_p</v>
      </c>
      <c r="B1129">
        <v>0</v>
      </c>
      <c r="C1129" t="s">
        <v>4</v>
      </c>
    </row>
    <row r="1130" spans="1:8" x14ac:dyDescent="0.25">
      <c r="A1130" t="str" cm="1">
        <f t="array" aca="1" ref="A1130" ca="1">"aK_T_2_" &amp; INDIRECT("F" &amp; ROW(C1130)-3) &amp; "_p"</f>
        <v>aK_T_2_8_4_p</v>
      </c>
      <c r="B1130">
        <v>0</v>
      </c>
      <c r="C1130" t="s">
        <v>5</v>
      </c>
    </row>
    <row r="1131" spans="1:8" x14ac:dyDescent="0.25">
      <c r="A1131" t="str" cm="1">
        <f t="array" aca="1" ref="A1131" ca="1">"aK_T_3_" &amp; INDIRECT("F" &amp; ROW(C1131)-4) &amp; "_p"</f>
        <v>aK_T_3_8_4_p</v>
      </c>
      <c r="B1131">
        <v>2</v>
      </c>
      <c r="C1131" t="s">
        <v>6</v>
      </c>
    </row>
    <row r="1132" spans="1:8" x14ac:dyDescent="0.25">
      <c r="A1132" s="5" t="s">
        <v>8</v>
      </c>
    </row>
    <row r="1133" spans="1:8" x14ac:dyDescent="0.25">
      <c r="A1133" t="str" cm="1">
        <f t="array" aca="1" ref="A1133" ca="1">"aK_WS_1_" &amp; INDIRECT("F" &amp; ROW(C1133)-6) &amp; "_p"</f>
        <v>aK_WS_1_8_4_p</v>
      </c>
      <c r="B1133">
        <v>0</v>
      </c>
      <c r="C1133" t="s">
        <v>4</v>
      </c>
    </row>
    <row r="1134" spans="1:8" x14ac:dyDescent="0.25">
      <c r="A1134" t="str" cm="1">
        <f t="array" aca="1" ref="A1134" ca="1">"aK_WS_2_" &amp; INDIRECT("F" &amp; ROW(C1134)-7) &amp; "_p"</f>
        <v>aK_WS_2_8_4_p</v>
      </c>
      <c r="B1134">
        <v>0</v>
      </c>
      <c r="C1134" t="s">
        <v>5</v>
      </c>
    </row>
    <row r="1135" spans="1:8" x14ac:dyDescent="0.25">
      <c r="A1135" t="str" cm="1">
        <f t="array" aca="1" ref="A1135" ca="1">"aK_WS_3_" &amp; INDIRECT("F" &amp; ROW(C1135)-8) &amp; "_p"</f>
        <v>aK_WS_3_8_4_p</v>
      </c>
      <c r="B1135">
        <v>2</v>
      </c>
      <c r="C1135" t="s">
        <v>6</v>
      </c>
    </row>
    <row r="1136" spans="1:8" x14ac:dyDescent="0.25">
      <c r="A1136" s="5" t="s">
        <v>7</v>
      </c>
      <c r="G1136" s="5"/>
      <c r="H1136" s="5"/>
    </row>
    <row r="1137" spans="1:8" x14ac:dyDescent="0.25">
      <c r="A1137" t="str" cm="1">
        <f t="array" aca="1" ref="A1137" ca="1">"aK_PREC_1_" &amp; INDIRECT("F" &amp; ROW(C1137) - 10) &amp; "_p"</f>
        <v>aK_PREC_1_8_4_p</v>
      </c>
      <c r="B1137">
        <v>0</v>
      </c>
      <c r="C1137" t="s">
        <v>4</v>
      </c>
      <c r="F1137" s="5"/>
    </row>
    <row r="1138" spans="1:8" x14ac:dyDescent="0.25">
      <c r="A1138" t="str" cm="1">
        <f t="array" aca="1" ref="A1138" ca="1">"aK_PREC_2_" &amp; INDIRECT("F" &amp; ROW(C1138) - 11) &amp; "_p"</f>
        <v>aK_PREC_2_8_4_p</v>
      </c>
      <c r="B1138">
        <v>0</v>
      </c>
      <c r="C1138" t="s">
        <v>5</v>
      </c>
    </row>
    <row r="1139" spans="1:8" x14ac:dyDescent="0.25">
      <c r="A1139" t="str" cm="1">
        <f t="array" aca="1" ref="A1139" ca="1">"aK_PREC_3_" &amp; INDIRECT("F" &amp; ROW(C1139) - 12) &amp; "_p"</f>
        <v>aK_PREC_3_8_4_p</v>
      </c>
      <c r="B1139">
        <v>2</v>
      </c>
      <c r="C1139" t="s">
        <v>6</v>
      </c>
    </row>
    <row r="1140" spans="1:8" x14ac:dyDescent="0.25">
      <c r="A1140" s="5" t="s">
        <v>9</v>
      </c>
      <c r="G1140" s="5"/>
      <c r="H1140" s="5"/>
    </row>
    <row r="1141" spans="1:8" x14ac:dyDescent="0.25">
      <c r="A1141" t="str" cm="1">
        <f t="array" aca="1" ref="A1141" ca="1">"aK_SL_1_" &amp; INDIRECT("F" &amp; ROW(C1141) - 14) &amp; "_p"</f>
        <v>aK_SL_1_8_4_p</v>
      </c>
      <c r="B1141">
        <v>0</v>
      </c>
      <c r="C1141" t="s">
        <v>4</v>
      </c>
      <c r="F1141" s="5"/>
    </row>
    <row r="1142" spans="1:8" x14ac:dyDescent="0.25">
      <c r="A1142" t="str" cm="1">
        <f t="array" aca="1" ref="A1142" ca="1">"aK_SL_2_" &amp; INDIRECT("F" &amp; ROW(C1142) - 15) &amp; "_p"</f>
        <v>aK_SL_2_8_4_p</v>
      </c>
      <c r="B1142">
        <v>0</v>
      </c>
      <c r="C1142" t="s">
        <v>5</v>
      </c>
    </row>
    <row r="1143" spans="1:8" x14ac:dyDescent="0.25">
      <c r="A1143" t="str" cm="1">
        <f t="array" aca="1" ref="A1143" ca="1">"aK_SL_3_" &amp; INDIRECT("F" &amp; ROW(C1143) - 16) &amp; "_p"</f>
        <v>aK_SL_3_8_4_p</v>
      </c>
      <c r="B1143">
        <v>2</v>
      </c>
      <c r="C1143" t="s">
        <v>6</v>
      </c>
    </row>
    <row r="1144" spans="1:8" x14ac:dyDescent="0.25">
      <c r="A1144" s="5" t="s">
        <v>95</v>
      </c>
    </row>
    <row r="1145" spans="1:8" x14ac:dyDescent="0.25">
      <c r="A1145" t="str" cm="1">
        <f t="array" aca="1" ref="A1145" ca="1">"aK_DRO_1_" &amp; INDIRECT("F" &amp; ROW(C1145) - 18) &amp; "_p"</f>
        <v>aK_DRO_1_8_4_p</v>
      </c>
      <c r="B1145">
        <v>0</v>
      </c>
      <c r="C1145" t="s">
        <v>4</v>
      </c>
    </row>
    <row r="1146" spans="1:8" x14ac:dyDescent="0.25">
      <c r="A1146" t="str" cm="1">
        <f t="array" aca="1" ref="A1146" ca="1">"aK_DRO_2_" &amp; INDIRECT("F" &amp; ROW(C1146) - 19) &amp; "_p"</f>
        <v>aK_DRO_2_8_4_p</v>
      </c>
      <c r="B1146">
        <v>0</v>
      </c>
      <c r="C1146" t="s">
        <v>5</v>
      </c>
    </row>
    <row r="1147" spans="1:8" x14ac:dyDescent="0.25">
      <c r="A1147" t="str" cm="1">
        <f t="array" aca="1" ref="A1147" ca="1">"aK_DRO_3_" &amp; INDIRECT("F" &amp; ROW(C1147) - 20) &amp; "_p"</f>
        <v>aK_DRO_3_8_4_p</v>
      </c>
      <c r="B1147">
        <v>2</v>
      </c>
      <c r="C1147" t="s">
        <v>6</v>
      </c>
    </row>
    <row r="1148" spans="1:8" x14ac:dyDescent="0.25">
      <c r="A1148" s="5" t="s">
        <v>96</v>
      </c>
    </row>
    <row r="1149" spans="1:8" x14ac:dyDescent="0.25">
      <c r="A1149" t="str" cm="1">
        <f t="array" aca="1" ref="A1149" ca="1">"aK_CYC_1_" &amp; INDIRECT("F" &amp; ROW(C1149) - 22) &amp; "_p"</f>
        <v>aK_CYC_1_8_4_p</v>
      </c>
      <c r="B1149">
        <v>0.1</v>
      </c>
      <c r="C1149" t="s">
        <v>4</v>
      </c>
    </row>
    <row r="1150" spans="1:8" x14ac:dyDescent="0.25">
      <c r="A1150" t="str" cm="1">
        <f t="array" aca="1" ref="A1150" ca="1">"aK_CYC_2_" &amp; INDIRECT("F" &amp; ROW(C1150) - 23) &amp; "_p"</f>
        <v>aK_CYC_2_8_4_p</v>
      </c>
      <c r="B1150">
        <v>0</v>
      </c>
      <c r="C1150" t="s">
        <v>5</v>
      </c>
    </row>
    <row r="1151" spans="1:8" x14ac:dyDescent="0.25">
      <c r="A1151" t="str" cm="1">
        <f t="array" aca="1" ref="A1151" ca="1">"aK_CYC_3_" &amp; INDIRECT("F" &amp; ROW(C1151) - 24) &amp; "_p"</f>
        <v>aK_CYC_3_8_4_p</v>
      </c>
      <c r="B1151">
        <v>2</v>
      </c>
      <c r="C1151" t="s">
        <v>6</v>
      </c>
    </row>
    <row r="1152" spans="1:8" x14ac:dyDescent="0.25">
      <c r="A1152" s="31" t="s">
        <v>149</v>
      </c>
      <c r="B1152" s="31"/>
      <c r="C1152" s="31"/>
      <c r="D1152" s="25">
        <v>8</v>
      </c>
      <c r="E1152" s="25">
        <v>5</v>
      </c>
      <c r="F1152" s="25" t="s">
        <v>164</v>
      </c>
    </row>
    <row r="1153" spans="1:8" x14ac:dyDescent="0.25">
      <c r="A1153" s="5" t="s">
        <v>3</v>
      </c>
    </row>
    <row r="1154" spans="1:8" x14ac:dyDescent="0.25">
      <c r="A1154" t="str" cm="1">
        <f t="array" aca="1" ref="A1154" ca="1">"aK_T_1_" &amp; INDIRECT("F" &amp; ROW(C1154)-2) &amp; "_p"</f>
        <v>aK_T_1_8_5_p</v>
      </c>
      <c r="B1154">
        <v>0</v>
      </c>
      <c r="C1154" t="s">
        <v>4</v>
      </c>
    </row>
    <row r="1155" spans="1:8" x14ac:dyDescent="0.25">
      <c r="A1155" t="str" cm="1">
        <f t="array" aca="1" ref="A1155" ca="1">"aK_T_2_" &amp; INDIRECT("F" &amp; ROW(C1155)-3) &amp; "_p"</f>
        <v>aK_T_2_8_5_p</v>
      </c>
      <c r="B1155">
        <v>0</v>
      </c>
      <c r="C1155" t="s">
        <v>5</v>
      </c>
    </row>
    <row r="1156" spans="1:8" x14ac:dyDescent="0.25">
      <c r="A1156" t="str" cm="1">
        <f t="array" aca="1" ref="A1156" ca="1">"aK_T_3_" &amp; INDIRECT("F" &amp; ROW(C1156)-4) &amp; "_p"</f>
        <v>aK_T_3_8_5_p</v>
      </c>
      <c r="B1156">
        <v>2</v>
      </c>
      <c r="C1156" t="s">
        <v>6</v>
      </c>
    </row>
    <row r="1157" spans="1:8" x14ac:dyDescent="0.25">
      <c r="A1157" s="5" t="s">
        <v>8</v>
      </c>
    </row>
    <row r="1158" spans="1:8" x14ac:dyDescent="0.25">
      <c r="A1158" t="str" cm="1">
        <f t="array" aca="1" ref="A1158" ca="1">"aK_WS_1_" &amp; INDIRECT("F" &amp; ROW(C1158)-6) &amp; "_p"</f>
        <v>aK_WS_1_8_5_p</v>
      </c>
      <c r="B1158">
        <v>0</v>
      </c>
      <c r="C1158" t="s">
        <v>4</v>
      </c>
    </row>
    <row r="1159" spans="1:8" x14ac:dyDescent="0.25">
      <c r="A1159" t="str" cm="1">
        <f t="array" aca="1" ref="A1159" ca="1">"aK_WS_2_" &amp; INDIRECT("F" &amp; ROW(C1159)-7) &amp; "_p"</f>
        <v>aK_WS_2_8_5_p</v>
      </c>
      <c r="B1159">
        <v>0</v>
      </c>
      <c r="C1159" t="s">
        <v>5</v>
      </c>
    </row>
    <row r="1160" spans="1:8" x14ac:dyDescent="0.25">
      <c r="A1160" t="str" cm="1">
        <f t="array" aca="1" ref="A1160" ca="1">"aK_WS_3_" &amp; INDIRECT("F" &amp; ROW(C1160)-8) &amp; "_p"</f>
        <v>aK_WS_3_8_5_p</v>
      </c>
      <c r="B1160">
        <v>2</v>
      </c>
      <c r="C1160" t="s">
        <v>6</v>
      </c>
    </row>
    <row r="1161" spans="1:8" x14ac:dyDescent="0.25">
      <c r="A1161" s="5" t="s">
        <v>7</v>
      </c>
      <c r="G1161" s="5"/>
      <c r="H1161" s="5"/>
    </row>
    <row r="1162" spans="1:8" x14ac:dyDescent="0.25">
      <c r="A1162" t="str" cm="1">
        <f t="array" aca="1" ref="A1162" ca="1">"aK_PREC_1_" &amp; INDIRECT("F" &amp; ROW(C1162) - 10) &amp; "_p"</f>
        <v>aK_PREC_1_8_5_p</v>
      </c>
      <c r="B1162">
        <v>0</v>
      </c>
      <c r="C1162" t="s">
        <v>4</v>
      </c>
      <c r="F1162" s="5"/>
    </row>
    <row r="1163" spans="1:8" x14ac:dyDescent="0.25">
      <c r="A1163" t="str" cm="1">
        <f t="array" aca="1" ref="A1163" ca="1">"aK_PREC_2_" &amp; INDIRECT("F" &amp; ROW(C1163) - 11) &amp; "_p"</f>
        <v>aK_PREC_2_8_5_p</v>
      </c>
      <c r="B1163">
        <v>0</v>
      </c>
      <c r="C1163" t="s">
        <v>5</v>
      </c>
    </row>
    <row r="1164" spans="1:8" x14ac:dyDescent="0.25">
      <c r="A1164" t="str" cm="1">
        <f t="array" aca="1" ref="A1164" ca="1">"aK_PREC_3_" &amp; INDIRECT("F" &amp; ROW(C1164) - 12) &amp; "_p"</f>
        <v>aK_PREC_3_8_5_p</v>
      </c>
      <c r="B1164">
        <v>2</v>
      </c>
      <c r="C1164" t="s">
        <v>6</v>
      </c>
    </row>
    <row r="1165" spans="1:8" x14ac:dyDescent="0.25">
      <c r="A1165" s="5" t="s">
        <v>9</v>
      </c>
      <c r="G1165" s="5"/>
      <c r="H1165" s="5"/>
    </row>
    <row r="1166" spans="1:8" x14ac:dyDescent="0.25">
      <c r="A1166" t="str" cm="1">
        <f t="array" aca="1" ref="A1166" ca="1">"aK_SL_1_" &amp; INDIRECT("F" &amp; ROW(C1166) - 14) &amp; "_p"</f>
        <v>aK_SL_1_8_5_p</v>
      </c>
      <c r="B1166">
        <v>0</v>
      </c>
      <c r="C1166" t="s">
        <v>4</v>
      </c>
      <c r="F1166" s="5"/>
    </row>
    <row r="1167" spans="1:8" x14ac:dyDescent="0.25">
      <c r="A1167" t="str" cm="1">
        <f t="array" aca="1" ref="A1167" ca="1">"aK_SL_2_" &amp; INDIRECT("F" &amp; ROW(C1167) - 15) &amp; "_p"</f>
        <v>aK_SL_2_8_5_p</v>
      </c>
      <c r="B1167">
        <v>0</v>
      </c>
      <c r="C1167" t="s">
        <v>5</v>
      </c>
    </row>
    <row r="1168" spans="1:8" x14ac:dyDescent="0.25">
      <c r="A1168" t="str" cm="1">
        <f t="array" aca="1" ref="A1168" ca="1">"aK_SL_3_" &amp; INDIRECT("F" &amp; ROW(C1168) - 16) &amp; "_p"</f>
        <v>aK_SL_3_8_5_p</v>
      </c>
      <c r="B1168">
        <v>2</v>
      </c>
      <c r="C1168" t="s">
        <v>6</v>
      </c>
    </row>
    <row r="1169" spans="1:6" x14ac:dyDescent="0.25">
      <c r="A1169" s="5" t="s">
        <v>95</v>
      </c>
    </row>
    <row r="1170" spans="1:6" x14ac:dyDescent="0.25">
      <c r="A1170" t="str" cm="1">
        <f t="array" aca="1" ref="A1170" ca="1">"aK_DRO_1_" &amp; INDIRECT("F" &amp; ROW(C1170) - 18) &amp; "_p"</f>
        <v>aK_DRO_1_8_5_p</v>
      </c>
      <c r="B1170">
        <v>0</v>
      </c>
      <c r="C1170" t="s">
        <v>4</v>
      </c>
    </row>
    <row r="1171" spans="1:6" x14ac:dyDescent="0.25">
      <c r="A1171" t="str" cm="1">
        <f t="array" aca="1" ref="A1171" ca="1">"aK_DRO_2_" &amp; INDIRECT("F" &amp; ROW(C1171) - 19) &amp; "_p"</f>
        <v>aK_DRO_2_8_5_p</v>
      </c>
      <c r="B1171">
        <v>0</v>
      </c>
      <c r="C1171" t="s">
        <v>5</v>
      </c>
    </row>
    <row r="1172" spans="1:6" x14ac:dyDescent="0.25">
      <c r="A1172" t="str" cm="1">
        <f t="array" aca="1" ref="A1172" ca="1">"aK_DRO_3_" &amp; INDIRECT("F" &amp; ROW(C1172) - 20) &amp; "_p"</f>
        <v>aK_DRO_3_8_5_p</v>
      </c>
      <c r="B1172">
        <v>2</v>
      </c>
      <c r="C1172" t="s">
        <v>6</v>
      </c>
    </row>
    <row r="1173" spans="1:6" x14ac:dyDescent="0.25">
      <c r="A1173" s="5" t="s">
        <v>96</v>
      </c>
    </row>
    <row r="1174" spans="1:6" x14ac:dyDescent="0.25">
      <c r="A1174" t="str" cm="1">
        <f t="array" aca="1" ref="A1174" ca="1">"aK_CYC_1_" &amp; INDIRECT("F" &amp; ROW(C1174) - 22) &amp; "_p"</f>
        <v>aK_CYC_1_8_5_p</v>
      </c>
      <c r="B1174">
        <v>0.1</v>
      </c>
      <c r="C1174" t="s">
        <v>4</v>
      </c>
    </row>
    <row r="1175" spans="1:6" x14ac:dyDescent="0.25">
      <c r="A1175" t="str" cm="1">
        <f t="array" aca="1" ref="A1175" ca="1">"aK_CYC_2_" &amp; INDIRECT("F" &amp; ROW(C1175) - 23) &amp; "_p"</f>
        <v>aK_CYC_2_8_5_p</v>
      </c>
      <c r="B1175">
        <v>0</v>
      </c>
      <c r="C1175" t="s">
        <v>5</v>
      </c>
    </row>
    <row r="1176" spans="1:6" x14ac:dyDescent="0.25">
      <c r="A1176" t="str" cm="1">
        <f t="array" aca="1" ref="A1176" ca="1">"aK_CYC_3_" &amp; INDIRECT("F" &amp; ROW(C1176) - 24) &amp; "_p"</f>
        <v>aK_CYC_3_8_5_p</v>
      </c>
      <c r="B1176">
        <v>2</v>
      </c>
      <c r="C1176" t="s">
        <v>6</v>
      </c>
    </row>
    <row r="1177" spans="1:6" x14ac:dyDescent="0.25">
      <c r="A1177" s="31" t="s">
        <v>150</v>
      </c>
      <c r="B1177" s="31"/>
      <c r="C1177" s="31"/>
      <c r="D1177" s="25">
        <v>8</v>
      </c>
      <c r="E1177" s="25">
        <v>6</v>
      </c>
      <c r="F1177" s="25" t="s">
        <v>163</v>
      </c>
    </row>
    <row r="1178" spans="1:6" x14ac:dyDescent="0.25">
      <c r="A1178" s="5" t="s">
        <v>3</v>
      </c>
    </row>
    <row r="1179" spans="1:6" x14ac:dyDescent="0.25">
      <c r="A1179" t="str" cm="1">
        <f t="array" aca="1" ref="A1179" ca="1">"aK_T_1_" &amp; INDIRECT("F" &amp; ROW(C1179)-2) &amp; "_p"</f>
        <v>aK_T_1_8_6_p</v>
      </c>
      <c r="B1179">
        <v>0</v>
      </c>
      <c r="C1179" t="s">
        <v>4</v>
      </c>
    </row>
    <row r="1180" spans="1:6" x14ac:dyDescent="0.25">
      <c r="A1180" t="str" cm="1">
        <f t="array" aca="1" ref="A1180" ca="1">"aK_T_2_" &amp; INDIRECT("F" &amp; ROW(C1180)-3) &amp; "_p"</f>
        <v>aK_T_2_8_6_p</v>
      </c>
      <c r="B1180">
        <v>0</v>
      </c>
      <c r="C1180" t="s">
        <v>5</v>
      </c>
    </row>
    <row r="1181" spans="1:6" x14ac:dyDescent="0.25">
      <c r="A1181" t="str" cm="1">
        <f t="array" aca="1" ref="A1181" ca="1">"aK_T_3_" &amp; INDIRECT("F" &amp; ROW(C1181)-4) &amp; "_p"</f>
        <v>aK_T_3_8_6_p</v>
      </c>
      <c r="B1181">
        <v>2</v>
      </c>
      <c r="C1181" t="s">
        <v>6</v>
      </c>
    </row>
    <row r="1182" spans="1:6" x14ac:dyDescent="0.25">
      <c r="A1182" s="5" t="s">
        <v>8</v>
      </c>
    </row>
    <row r="1183" spans="1:6" x14ac:dyDescent="0.25">
      <c r="A1183" t="str" cm="1">
        <f t="array" aca="1" ref="A1183" ca="1">"aK_WS_1_" &amp; INDIRECT("F" &amp; ROW(C1183)-6) &amp; "_p"</f>
        <v>aK_WS_1_8_6_p</v>
      </c>
      <c r="B1183">
        <v>0</v>
      </c>
      <c r="C1183" t="s">
        <v>4</v>
      </c>
    </row>
    <row r="1184" spans="1:6" x14ac:dyDescent="0.25">
      <c r="A1184" t="str" cm="1">
        <f t="array" aca="1" ref="A1184" ca="1">"aK_WS_2_" &amp; INDIRECT("F" &amp; ROW(C1184)-7) &amp; "_p"</f>
        <v>aK_WS_2_8_6_p</v>
      </c>
      <c r="B1184">
        <v>0</v>
      </c>
      <c r="C1184" t="s">
        <v>5</v>
      </c>
    </row>
    <row r="1185" spans="1:8" x14ac:dyDescent="0.25">
      <c r="A1185" t="str" cm="1">
        <f t="array" aca="1" ref="A1185" ca="1">"aK_WS_3_" &amp; INDIRECT("F" &amp; ROW(C1185)-8) &amp; "_p"</f>
        <v>aK_WS_3_8_6_p</v>
      </c>
      <c r="B1185">
        <v>2</v>
      </c>
      <c r="C1185" t="s">
        <v>6</v>
      </c>
    </row>
    <row r="1186" spans="1:8" x14ac:dyDescent="0.25">
      <c r="A1186" s="5" t="s">
        <v>7</v>
      </c>
      <c r="G1186" s="5"/>
      <c r="H1186" s="5"/>
    </row>
    <row r="1187" spans="1:8" x14ac:dyDescent="0.25">
      <c r="A1187" t="str" cm="1">
        <f t="array" aca="1" ref="A1187" ca="1">"aK_PREC_1_" &amp; INDIRECT("F" &amp; ROW(C1187) - 10) &amp; "_p"</f>
        <v>aK_PREC_1_8_6_p</v>
      </c>
      <c r="B1187">
        <v>0</v>
      </c>
      <c r="C1187" t="s">
        <v>4</v>
      </c>
      <c r="F1187" s="5"/>
    </row>
    <row r="1188" spans="1:8" x14ac:dyDescent="0.25">
      <c r="A1188" t="str" cm="1">
        <f t="array" aca="1" ref="A1188" ca="1">"aK_PREC_2_" &amp; INDIRECT("F" &amp; ROW(C1188) - 11) &amp; "_p"</f>
        <v>aK_PREC_2_8_6_p</v>
      </c>
      <c r="B1188">
        <v>0</v>
      </c>
      <c r="C1188" t="s">
        <v>5</v>
      </c>
    </row>
    <row r="1189" spans="1:8" x14ac:dyDescent="0.25">
      <c r="A1189" t="str" cm="1">
        <f t="array" aca="1" ref="A1189" ca="1">"aK_PREC_3_" &amp; INDIRECT("F" &amp; ROW(C1189) - 12) &amp; "_p"</f>
        <v>aK_PREC_3_8_6_p</v>
      </c>
      <c r="B1189">
        <v>2</v>
      </c>
      <c r="C1189" t="s">
        <v>6</v>
      </c>
    </row>
    <row r="1190" spans="1:8" x14ac:dyDescent="0.25">
      <c r="A1190" s="5" t="s">
        <v>9</v>
      </c>
      <c r="G1190" s="5"/>
      <c r="H1190" s="5"/>
    </row>
    <row r="1191" spans="1:8" x14ac:dyDescent="0.25">
      <c r="A1191" t="str" cm="1">
        <f t="array" aca="1" ref="A1191" ca="1">"aK_SL_1_" &amp; INDIRECT("F" &amp; ROW(C1191) - 14) &amp; "_p"</f>
        <v>aK_SL_1_8_6_p</v>
      </c>
      <c r="B1191">
        <v>0</v>
      </c>
      <c r="C1191" t="s">
        <v>4</v>
      </c>
      <c r="F1191" s="5"/>
    </row>
    <row r="1192" spans="1:8" x14ac:dyDescent="0.25">
      <c r="A1192" t="str" cm="1">
        <f t="array" aca="1" ref="A1192" ca="1">"aK_SL_2_" &amp; INDIRECT("F" &amp; ROW(C1192) - 15) &amp; "_p"</f>
        <v>aK_SL_2_8_6_p</v>
      </c>
      <c r="B1192">
        <v>0</v>
      </c>
      <c r="C1192" t="s">
        <v>5</v>
      </c>
    </row>
    <row r="1193" spans="1:8" x14ac:dyDescent="0.25">
      <c r="A1193" t="str" cm="1">
        <f t="array" aca="1" ref="A1193" ca="1">"aK_SL_3_" &amp; INDIRECT("F" &amp; ROW(C1193) - 16) &amp; "_p"</f>
        <v>aK_SL_3_8_6_p</v>
      </c>
      <c r="B1193">
        <v>2</v>
      </c>
      <c r="C1193" t="s">
        <v>6</v>
      </c>
    </row>
    <row r="1194" spans="1:8" x14ac:dyDescent="0.25">
      <c r="A1194" s="5" t="s">
        <v>95</v>
      </c>
    </row>
    <row r="1195" spans="1:8" x14ac:dyDescent="0.25">
      <c r="A1195" t="str" cm="1">
        <f t="array" aca="1" ref="A1195" ca="1">"aK_DRO_1_" &amp; INDIRECT("F" &amp; ROW(C1195) - 18) &amp; "_p"</f>
        <v>aK_DRO_1_8_6_p</v>
      </c>
      <c r="B1195">
        <v>0</v>
      </c>
      <c r="C1195" t="s">
        <v>4</v>
      </c>
    </row>
    <row r="1196" spans="1:8" x14ac:dyDescent="0.25">
      <c r="A1196" t="str" cm="1">
        <f t="array" aca="1" ref="A1196" ca="1">"aK_DRO_2_" &amp; INDIRECT("F" &amp; ROW(C1196) - 19) &amp; "_p"</f>
        <v>aK_DRO_2_8_6_p</v>
      </c>
      <c r="B1196">
        <v>0</v>
      </c>
      <c r="C1196" t="s">
        <v>5</v>
      </c>
    </row>
    <row r="1197" spans="1:8" x14ac:dyDescent="0.25">
      <c r="A1197" t="str" cm="1">
        <f t="array" aca="1" ref="A1197" ca="1">"aK_DRO_3_" &amp; INDIRECT("F" &amp; ROW(C1197) - 20) &amp; "_p"</f>
        <v>aK_DRO_3_8_6_p</v>
      </c>
      <c r="B1197">
        <v>2</v>
      </c>
      <c r="C1197" t="s">
        <v>6</v>
      </c>
    </row>
    <row r="1198" spans="1:8" x14ac:dyDescent="0.25">
      <c r="A1198" s="5" t="s">
        <v>96</v>
      </c>
    </row>
    <row r="1199" spans="1:8" x14ac:dyDescent="0.25">
      <c r="A1199" t="str" cm="1">
        <f t="array" aca="1" ref="A1199" ca="1">"aK_CYC_1_" &amp; INDIRECT("F" &amp; ROW(C1199) - 22) &amp; "_p"</f>
        <v>aK_CYC_1_8_6_p</v>
      </c>
      <c r="B1199">
        <v>0.1</v>
      </c>
      <c r="C1199" t="s">
        <v>4</v>
      </c>
    </row>
    <row r="1200" spans="1:8" x14ac:dyDescent="0.25">
      <c r="A1200" t="str" cm="1">
        <f t="array" aca="1" ref="A1200" ca="1">"aK_CYC_2_" &amp; INDIRECT("F" &amp; ROW(C1200) - 23) &amp; "_p"</f>
        <v>aK_CYC_2_8_6_p</v>
      </c>
      <c r="B1200">
        <v>0</v>
      </c>
      <c r="C1200" t="s">
        <v>5</v>
      </c>
    </row>
    <row r="1201" spans="1:8" x14ac:dyDescent="0.25">
      <c r="A1201" t="str" cm="1">
        <f t="array" aca="1" ref="A1201" ca="1">"aK_CYC_3_" &amp; INDIRECT("F" &amp; ROW(C1201) - 24) &amp; "_p"</f>
        <v>aK_CYC_3_8_6_p</v>
      </c>
      <c r="B1201">
        <v>2</v>
      </c>
      <c r="C1201" t="s">
        <v>6</v>
      </c>
    </row>
    <row r="1202" spans="1:8" x14ac:dyDescent="0.25">
      <c r="A1202" s="31" t="s">
        <v>151</v>
      </c>
      <c r="B1202" s="31"/>
      <c r="C1202" s="31"/>
      <c r="D1202" s="25">
        <v>9</v>
      </c>
      <c r="E1202" s="25">
        <v>1</v>
      </c>
      <c r="F1202" s="25" t="s">
        <v>162</v>
      </c>
    </row>
    <row r="1203" spans="1:8" x14ac:dyDescent="0.25">
      <c r="A1203" s="5" t="s">
        <v>3</v>
      </c>
    </row>
    <row r="1204" spans="1:8" x14ac:dyDescent="0.25">
      <c r="A1204" t="str" cm="1">
        <f t="array" aca="1" ref="A1204" ca="1">"aK_T_1_" &amp; INDIRECT("F" &amp; ROW(C1204)-2) &amp; "_p"</f>
        <v>aK_T_1_9_1_p</v>
      </c>
      <c r="B1204">
        <v>0</v>
      </c>
      <c r="C1204" t="s">
        <v>4</v>
      </c>
    </row>
    <row r="1205" spans="1:8" x14ac:dyDescent="0.25">
      <c r="A1205" t="str" cm="1">
        <f t="array" aca="1" ref="A1205" ca="1">"aK_T_2_" &amp; INDIRECT("F" &amp; ROW(C1205)-3) &amp; "_p"</f>
        <v>aK_T_2_9_1_p</v>
      </c>
      <c r="B1205">
        <v>0</v>
      </c>
      <c r="C1205" t="s">
        <v>5</v>
      </c>
    </row>
    <row r="1206" spans="1:8" x14ac:dyDescent="0.25">
      <c r="A1206" t="str" cm="1">
        <f t="array" aca="1" ref="A1206" ca="1">"aK_T_3_" &amp; INDIRECT("F" &amp; ROW(C1206)-4) &amp; "_p"</f>
        <v>aK_T_3_9_1_p</v>
      </c>
      <c r="B1206">
        <v>2</v>
      </c>
      <c r="C1206" t="s">
        <v>6</v>
      </c>
    </row>
    <row r="1207" spans="1:8" x14ac:dyDescent="0.25">
      <c r="A1207" s="5" t="s">
        <v>8</v>
      </c>
    </row>
    <row r="1208" spans="1:8" x14ac:dyDescent="0.25">
      <c r="A1208" t="str" cm="1">
        <f t="array" aca="1" ref="A1208" ca="1">"aK_WS_1_" &amp; INDIRECT("F" &amp; ROW(C1208)-6) &amp; "_p"</f>
        <v>aK_WS_1_9_1_p</v>
      </c>
      <c r="B1208">
        <v>0</v>
      </c>
      <c r="C1208" t="s">
        <v>4</v>
      </c>
    </row>
    <row r="1209" spans="1:8" x14ac:dyDescent="0.25">
      <c r="A1209" t="str" cm="1">
        <f t="array" aca="1" ref="A1209" ca="1">"aK_WS_2_" &amp; INDIRECT("F" &amp; ROW(C1209)-7) &amp; "_p"</f>
        <v>aK_WS_2_9_1_p</v>
      </c>
      <c r="B1209">
        <v>0</v>
      </c>
      <c r="C1209" t="s">
        <v>5</v>
      </c>
    </row>
    <row r="1210" spans="1:8" x14ac:dyDescent="0.25">
      <c r="A1210" t="str" cm="1">
        <f t="array" aca="1" ref="A1210" ca="1">"aK_WS_3_" &amp; INDIRECT("F" &amp; ROW(C1210)-8) &amp; "_p"</f>
        <v>aK_WS_3_9_1_p</v>
      </c>
      <c r="B1210">
        <v>2</v>
      </c>
      <c r="C1210" t="s">
        <v>6</v>
      </c>
    </row>
    <row r="1211" spans="1:8" x14ac:dyDescent="0.25">
      <c r="A1211" s="5" t="s">
        <v>7</v>
      </c>
      <c r="G1211" s="5"/>
      <c r="H1211" s="5"/>
    </row>
    <row r="1212" spans="1:8" x14ac:dyDescent="0.25">
      <c r="A1212" t="str" cm="1">
        <f t="array" aca="1" ref="A1212" ca="1">"aK_PREC_1_" &amp; INDIRECT("F" &amp; ROW(C1212) - 10) &amp; "_p"</f>
        <v>aK_PREC_1_9_1_p</v>
      </c>
      <c r="B1212">
        <v>0</v>
      </c>
      <c r="C1212" t="s">
        <v>4</v>
      </c>
      <c r="F1212" s="5"/>
    </row>
    <row r="1213" spans="1:8" x14ac:dyDescent="0.25">
      <c r="A1213" t="str" cm="1">
        <f t="array" aca="1" ref="A1213" ca="1">"aK_PREC_2_" &amp; INDIRECT("F" &amp; ROW(C1213) - 11) &amp; "_p"</f>
        <v>aK_PREC_2_9_1_p</v>
      </c>
      <c r="B1213">
        <v>0</v>
      </c>
      <c r="C1213" t="s">
        <v>5</v>
      </c>
    </row>
    <row r="1214" spans="1:8" x14ac:dyDescent="0.25">
      <c r="A1214" t="str" cm="1">
        <f t="array" aca="1" ref="A1214" ca="1">"aK_PREC_3_" &amp; INDIRECT("F" &amp; ROW(C1214) - 12) &amp; "_p"</f>
        <v>aK_PREC_3_9_1_p</v>
      </c>
      <c r="B1214">
        <v>2</v>
      </c>
      <c r="C1214" t="s">
        <v>6</v>
      </c>
    </row>
    <row r="1215" spans="1:8" x14ac:dyDescent="0.25">
      <c r="A1215" s="5" t="s">
        <v>9</v>
      </c>
      <c r="G1215" s="5"/>
      <c r="H1215" s="5"/>
    </row>
    <row r="1216" spans="1:8" x14ac:dyDescent="0.25">
      <c r="A1216" t="str" cm="1">
        <f t="array" aca="1" ref="A1216" ca="1">"aK_SL_1_" &amp; INDIRECT("F" &amp; ROW(C1216) - 14) &amp; "_p"</f>
        <v>aK_SL_1_9_1_p</v>
      </c>
      <c r="B1216">
        <v>0</v>
      </c>
      <c r="C1216" t="s">
        <v>4</v>
      </c>
      <c r="F1216" s="5"/>
    </row>
    <row r="1217" spans="1:6" x14ac:dyDescent="0.25">
      <c r="A1217" t="str" cm="1">
        <f t="array" aca="1" ref="A1217" ca="1">"aK_SL_2_" &amp; INDIRECT("F" &amp; ROW(C1217) - 15) &amp; "_p"</f>
        <v>aK_SL_2_9_1_p</v>
      </c>
      <c r="B1217">
        <v>0</v>
      </c>
      <c r="C1217" t="s">
        <v>5</v>
      </c>
    </row>
    <row r="1218" spans="1:6" x14ac:dyDescent="0.25">
      <c r="A1218" t="str" cm="1">
        <f t="array" aca="1" ref="A1218" ca="1">"aK_SL_3_" &amp; INDIRECT("F" &amp; ROW(C1218) - 16) &amp; "_p"</f>
        <v>aK_SL_3_9_1_p</v>
      </c>
      <c r="B1218">
        <v>2</v>
      </c>
      <c r="C1218" t="s">
        <v>6</v>
      </c>
    </row>
    <row r="1219" spans="1:6" x14ac:dyDescent="0.25">
      <c r="A1219" s="5" t="s">
        <v>95</v>
      </c>
    </row>
    <row r="1220" spans="1:6" x14ac:dyDescent="0.25">
      <c r="A1220" t="str" cm="1">
        <f t="array" aca="1" ref="A1220" ca="1">"aK_DRO_1_" &amp; INDIRECT("F" &amp; ROW(C1220) - 18) &amp; "_p"</f>
        <v>aK_DRO_1_9_1_p</v>
      </c>
      <c r="B1220">
        <v>0</v>
      </c>
      <c r="C1220" t="s">
        <v>4</v>
      </c>
    </row>
    <row r="1221" spans="1:6" x14ac:dyDescent="0.25">
      <c r="A1221" t="str" cm="1">
        <f t="array" aca="1" ref="A1221" ca="1">"aK_DRO_2_" &amp; INDIRECT("F" &amp; ROW(C1221) - 19) &amp; "_p"</f>
        <v>aK_DRO_2_9_1_p</v>
      </c>
      <c r="B1221">
        <v>0</v>
      </c>
      <c r="C1221" t="s">
        <v>5</v>
      </c>
    </row>
    <row r="1222" spans="1:6" x14ac:dyDescent="0.25">
      <c r="A1222" t="str" cm="1">
        <f t="array" aca="1" ref="A1222" ca="1">"aK_DRO_3_" &amp; INDIRECT("F" &amp; ROW(C1222) - 20) &amp; "_p"</f>
        <v>aK_DRO_3_9_1_p</v>
      </c>
      <c r="B1222">
        <v>2</v>
      </c>
      <c r="C1222" t="s">
        <v>6</v>
      </c>
    </row>
    <row r="1223" spans="1:6" x14ac:dyDescent="0.25">
      <c r="A1223" s="5" t="s">
        <v>96</v>
      </c>
    </row>
    <row r="1224" spans="1:6" x14ac:dyDescent="0.25">
      <c r="A1224" t="str" cm="1">
        <f t="array" aca="1" ref="A1224" ca="1">"aK_CYC_1_" &amp; INDIRECT("F" &amp; ROW(C1224) - 22) &amp; "_p"</f>
        <v>aK_CYC_1_9_1_p</v>
      </c>
      <c r="B1224">
        <v>0.1</v>
      </c>
      <c r="C1224" t="s">
        <v>4</v>
      </c>
    </row>
    <row r="1225" spans="1:6" x14ac:dyDescent="0.25">
      <c r="A1225" t="str" cm="1">
        <f t="array" aca="1" ref="A1225" ca="1">"aK_CYC_2_" &amp; INDIRECT("F" &amp; ROW(C1225) - 23) &amp; "_p"</f>
        <v>aK_CYC_2_9_1_p</v>
      </c>
      <c r="B1225">
        <v>0</v>
      </c>
      <c r="C1225" t="s">
        <v>5</v>
      </c>
    </row>
    <row r="1226" spans="1:6" x14ac:dyDescent="0.25">
      <c r="A1226" t="str" cm="1">
        <f t="array" aca="1" ref="A1226" ca="1">"aK_CYC_3_" &amp; INDIRECT("F" &amp; ROW(C1226) - 24) &amp; "_p"</f>
        <v>aK_CYC_3_9_1_p</v>
      </c>
      <c r="B1226">
        <v>2</v>
      </c>
      <c r="C1226" t="s">
        <v>6</v>
      </c>
    </row>
    <row r="1227" spans="1:6" x14ac:dyDescent="0.25">
      <c r="A1227" s="31" t="s">
        <v>153</v>
      </c>
      <c r="B1227" s="31"/>
      <c r="C1227" s="31"/>
      <c r="D1227" s="25">
        <v>9</v>
      </c>
      <c r="E1227" s="25">
        <v>2</v>
      </c>
      <c r="F1227" s="25" t="s">
        <v>161</v>
      </c>
    </row>
    <row r="1228" spans="1:6" x14ac:dyDescent="0.25">
      <c r="A1228" s="5" t="s">
        <v>3</v>
      </c>
    </row>
    <row r="1229" spans="1:6" x14ac:dyDescent="0.25">
      <c r="A1229" t="str" cm="1">
        <f t="array" aca="1" ref="A1229" ca="1">"aK_T_1_" &amp; INDIRECT("F" &amp; ROW(C1229)-2) &amp; "_p"</f>
        <v>aK_T_1_9_2_p</v>
      </c>
      <c r="B1229">
        <v>0</v>
      </c>
      <c r="C1229" t="s">
        <v>4</v>
      </c>
    </row>
    <row r="1230" spans="1:6" x14ac:dyDescent="0.25">
      <c r="A1230" t="str" cm="1">
        <f t="array" aca="1" ref="A1230" ca="1">"aK_T_2_" &amp; INDIRECT("F" &amp; ROW(C1230)-3) &amp; "_p"</f>
        <v>aK_T_2_9_2_p</v>
      </c>
      <c r="B1230">
        <v>0</v>
      </c>
      <c r="C1230" t="s">
        <v>5</v>
      </c>
    </row>
    <row r="1231" spans="1:6" x14ac:dyDescent="0.25">
      <c r="A1231" t="str" cm="1">
        <f t="array" aca="1" ref="A1231" ca="1">"aK_T_3_" &amp; INDIRECT("F" &amp; ROW(C1231)-4) &amp; "_p"</f>
        <v>aK_T_3_9_2_p</v>
      </c>
      <c r="B1231">
        <v>2</v>
      </c>
      <c r="C1231" t="s">
        <v>6</v>
      </c>
    </row>
    <row r="1232" spans="1:6" x14ac:dyDescent="0.25">
      <c r="A1232" s="5" t="s">
        <v>8</v>
      </c>
    </row>
    <row r="1233" spans="1:8" x14ac:dyDescent="0.25">
      <c r="A1233" t="str" cm="1">
        <f t="array" aca="1" ref="A1233" ca="1">"aK_WS_1_" &amp; INDIRECT("F" &amp; ROW(C1233)-6) &amp; "_p"</f>
        <v>aK_WS_1_9_2_p</v>
      </c>
      <c r="B1233">
        <v>0</v>
      </c>
      <c r="C1233" t="s">
        <v>4</v>
      </c>
    </row>
    <row r="1234" spans="1:8" x14ac:dyDescent="0.25">
      <c r="A1234" t="str" cm="1">
        <f t="array" aca="1" ref="A1234" ca="1">"aK_WS_2_" &amp; INDIRECT("F" &amp; ROW(C1234)-7) &amp; "_p"</f>
        <v>aK_WS_2_9_2_p</v>
      </c>
      <c r="B1234">
        <v>0</v>
      </c>
      <c r="C1234" t="s">
        <v>5</v>
      </c>
    </row>
    <row r="1235" spans="1:8" x14ac:dyDescent="0.25">
      <c r="A1235" t="str" cm="1">
        <f t="array" aca="1" ref="A1235" ca="1">"aK_WS_3_" &amp; INDIRECT("F" &amp; ROW(C1235)-8) &amp; "_p"</f>
        <v>aK_WS_3_9_2_p</v>
      </c>
      <c r="B1235">
        <v>2</v>
      </c>
      <c r="C1235" t="s">
        <v>6</v>
      </c>
    </row>
    <row r="1236" spans="1:8" x14ac:dyDescent="0.25">
      <c r="A1236" s="5" t="s">
        <v>7</v>
      </c>
      <c r="G1236" s="5"/>
      <c r="H1236" s="5"/>
    </row>
    <row r="1237" spans="1:8" x14ac:dyDescent="0.25">
      <c r="A1237" t="str" cm="1">
        <f t="array" aca="1" ref="A1237" ca="1">"aK_PREC_1_" &amp; INDIRECT("F" &amp; ROW(C1237) - 10) &amp; "_p"</f>
        <v>aK_PREC_1_9_2_p</v>
      </c>
      <c r="B1237">
        <v>0</v>
      </c>
      <c r="C1237" t="s">
        <v>4</v>
      </c>
      <c r="F1237" s="5"/>
    </row>
    <row r="1238" spans="1:8" x14ac:dyDescent="0.25">
      <c r="A1238" t="str" cm="1">
        <f t="array" aca="1" ref="A1238" ca="1">"aK_PREC_2_" &amp; INDIRECT("F" &amp; ROW(C1238) - 11) &amp; "_p"</f>
        <v>aK_PREC_2_9_2_p</v>
      </c>
      <c r="B1238">
        <v>0</v>
      </c>
      <c r="C1238" t="s">
        <v>5</v>
      </c>
    </row>
    <row r="1239" spans="1:8" x14ac:dyDescent="0.25">
      <c r="A1239" t="str" cm="1">
        <f t="array" aca="1" ref="A1239" ca="1">"aK_PREC_3_" &amp; INDIRECT("F" &amp; ROW(C1239) - 12) &amp; "_p"</f>
        <v>aK_PREC_3_9_2_p</v>
      </c>
      <c r="B1239">
        <v>2</v>
      </c>
      <c r="C1239" t="s">
        <v>6</v>
      </c>
    </row>
    <row r="1240" spans="1:8" x14ac:dyDescent="0.25">
      <c r="A1240" s="5" t="s">
        <v>9</v>
      </c>
      <c r="G1240" s="5"/>
      <c r="H1240" s="5"/>
    </row>
    <row r="1241" spans="1:8" x14ac:dyDescent="0.25">
      <c r="A1241" t="str" cm="1">
        <f t="array" aca="1" ref="A1241" ca="1">"aK_SL_1_" &amp; INDIRECT("F" &amp; ROW(C1241) - 14) &amp; "_p"</f>
        <v>aK_SL_1_9_2_p</v>
      </c>
      <c r="B1241">
        <v>0</v>
      </c>
      <c r="C1241" t="s">
        <v>4</v>
      </c>
      <c r="F1241" s="5"/>
    </row>
    <row r="1242" spans="1:8" x14ac:dyDescent="0.25">
      <c r="A1242" t="str" cm="1">
        <f t="array" aca="1" ref="A1242" ca="1">"aK_SL_2_" &amp; INDIRECT("F" &amp; ROW(C1242) - 15) &amp; "_p"</f>
        <v>aK_SL_2_9_2_p</v>
      </c>
      <c r="B1242">
        <v>0</v>
      </c>
      <c r="C1242" t="s">
        <v>5</v>
      </c>
    </row>
    <row r="1243" spans="1:8" x14ac:dyDescent="0.25">
      <c r="A1243" t="str" cm="1">
        <f t="array" aca="1" ref="A1243" ca="1">"aK_SL_3_" &amp; INDIRECT("F" &amp; ROW(C1243) - 16) &amp; "_p"</f>
        <v>aK_SL_3_9_2_p</v>
      </c>
      <c r="B1243">
        <v>2</v>
      </c>
      <c r="C1243" t="s">
        <v>6</v>
      </c>
    </row>
    <row r="1244" spans="1:8" x14ac:dyDescent="0.25">
      <c r="A1244" s="5" t="s">
        <v>95</v>
      </c>
    </row>
    <row r="1245" spans="1:8" x14ac:dyDescent="0.25">
      <c r="A1245" t="str" cm="1">
        <f t="array" aca="1" ref="A1245" ca="1">"aK_DRO_1_" &amp; INDIRECT("F" &amp; ROW(C1245) - 18) &amp; "_p"</f>
        <v>aK_DRO_1_9_2_p</v>
      </c>
      <c r="B1245">
        <v>0</v>
      </c>
      <c r="C1245" t="s">
        <v>4</v>
      </c>
    </row>
    <row r="1246" spans="1:8" x14ac:dyDescent="0.25">
      <c r="A1246" t="str" cm="1">
        <f t="array" aca="1" ref="A1246" ca="1">"aK_DRO_2_" &amp; INDIRECT("F" &amp; ROW(C1246) - 19) &amp; "_p"</f>
        <v>aK_DRO_2_9_2_p</v>
      </c>
      <c r="B1246">
        <v>0</v>
      </c>
      <c r="C1246" t="s">
        <v>5</v>
      </c>
    </row>
    <row r="1247" spans="1:8" x14ac:dyDescent="0.25">
      <c r="A1247" t="str" cm="1">
        <f t="array" aca="1" ref="A1247" ca="1">"aK_DRO_3_" &amp; INDIRECT("F" &amp; ROW(C1247) - 20) &amp; "_p"</f>
        <v>aK_DRO_3_9_2_p</v>
      </c>
      <c r="B1247">
        <v>2</v>
      </c>
      <c r="C1247" t="s">
        <v>6</v>
      </c>
    </row>
    <row r="1248" spans="1:8" x14ac:dyDescent="0.25">
      <c r="A1248" s="5" t="s">
        <v>96</v>
      </c>
    </row>
    <row r="1249" spans="1:8" x14ac:dyDescent="0.25">
      <c r="A1249" t="str" cm="1">
        <f t="array" aca="1" ref="A1249" ca="1">"aK_CYC_1_" &amp; INDIRECT("F" &amp; ROW(C1249) - 22) &amp; "_p"</f>
        <v>aK_CYC_1_9_2_p</v>
      </c>
      <c r="B1249">
        <v>0.1</v>
      </c>
      <c r="C1249" t="s">
        <v>4</v>
      </c>
    </row>
    <row r="1250" spans="1:8" x14ac:dyDescent="0.25">
      <c r="A1250" t="str" cm="1">
        <f t="array" aca="1" ref="A1250" ca="1">"aK_CYC_2_" &amp; INDIRECT("F" &amp; ROW(C1250) - 23) &amp; "_p"</f>
        <v>aK_CYC_2_9_2_p</v>
      </c>
      <c r="B1250">
        <v>0</v>
      </c>
      <c r="C1250" t="s">
        <v>5</v>
      </c>
    </row>
    <row r="1251" spans="1:8" x14ac:dyDescent="0.25">
      <c r="A1251" t="str" cm="1">
        <f t="array" aca="1" ref="A1251" ca="1">"aK_CYC_3_" &amp; INDIRECT("F" &amp; ROW(C1251) - 24) &amp; "_p"</f>
        <v>aK_CYC_3_9_2_p</v>
      </c>
      <c r="B1251">
        <v>2</v>
      </c>
      <c r="C1251" t="s">
        <v>6</v>
      </c>
    </row>
    <row r="1252" spans="1:8" x14ac:dyDescent="0.25">
      <c r="A1252" s="31" t="s">
        <v>154</v>
      </c>
      <c r="B1252" s="31"/>
      <c r="C1252" s="31"/>
      <c r="D1252" s="25">
        <v>9</v>
      </c>
      <c r="E1252" s="25">
        <v>3</v>
      </c>
      <c r="F1252" s="25" t="s">
        <v>160</v>
      </c>
    </row>
    <row r="1253" spans="1:8" x14ac:dyDescent="0.25">
      <c r="A1253" s="5" t="s">
        <v>3</v>
      </c>
    </row>
    <row r="1254" spans="1:8" x14ac:dyDescent="0.25">
      <c r="A1254" t="str" cm="1">
        <f t="array" aca="1" ref="A1254" ca="1">"aK_T_1_" &amp; INDIRECT("F" &amp; ROW(C1254)-2) &amp; "_p"</f>
        <v>aK_T_1_9_3_p</v>
      </c>
      <c r="B1254">
        <v>0</v>
      </c>
      <c r="C1254" t="s">
        <v>4</v>
      </c>
    </row>
    <row r="1255" spans="1:8" x14ac:dyDescent="0.25">
      <c r="A1255" t="str" cm="1">
        <f t="array" aca="1" ref="A1255" ca="1">"aK_T_2_" &amp; INDIRECT("F" &amp; ROW(C1255)-3) &amp; "_p"</f>
        <v>aK_T_2_9_3_p</v>
      </c>
      <c r="B1255">
        <v>0</v>
      </c>
      <c r="C1255" t="s">
        <v>5</v>
      </c>
    </row>
    <row r="1256" spans="1:8" x14ac:dyDescent="0.25">
      <c r="A1256" t="str" cm="1">
        <f t="array" aca="1" ref="A1256" ca="1">"aK_T_3_" &amp; INDIRECT("F" &amp; ROW(C1256)-4) &amp; "_p"</f>
        <v>aK_T_3_9_3_p</v>
      </c>
      <c r="B1256">
        <v>2</v>
      </c>
      <c r="C1256" t="s">
        <v>6</v>
      </c>
    </row>
    <row r="1257" spans="1:8" x14ac:dyDescent="0.25">
      <c r="A1257" s="5" t="s">
        <v>8</v>
      </c>
    </row>
    <row r="1258" spans="1:8" x14ac:dyDescent="0.25">
      <c r="A1258" t="str" cm="1">
        <f t="array" aca="1" ref="A1258" ca="1">"aK_WS_1_" &amp; INDIRECT("F" &amp; ROW(C1258)-6) &amp; "_p"</f>
        <v>aK_WS_1_9_3_p</v>
      </c>
      <c r="B1258">
        <v>0</v>
      </c>
      <c r="C1258" t="s">
        <v>4</v>
      </c>
    </row>
    <row r="1259" spans="1:8" x14ac:dyDescent="0.25">
      <c r="A1259" t="str" cm="1">
        <f t="array" aca="1" ref="A1259" ca="1">"aK_WS_2_" &amp; INDIRECT("F" &amp; ROW(C1259)-7) &amp; "_p"</f>
        <v>aK_WS_2_9_3_p</v>
      </c>
      <c r="B1259">
        <v>0</v>
      </c>
      <c r="C1259" t="s">
        <v>5</v>
      </c>
    </row>
    <row r="1260" spans="1:8" x14ac:dyDescent="0.25">
      <c r="A1260" t="str" cm="1">
        <f t="array" aca="1" ref="A1260" ca="1">"aK_WS_3_" &amp; INDIRECT("F" &amp; ROW(C1260)-8) &amp; "_p"</f>
        <v>aK_WS_3_9_3_p</v>
      </c>
      <c r="B1260">
        <v>2</v>
      </c>
      <c r="C1260" t="s">
        <v>6</v>
      </c>
    </row>
    <row r="1261" spans="1:8" x14ac:dyDescent="0.25">
      <c r="A1261" s="5" t="s">
        <v>7</v>
      </c>
      <c r="G1261" s="5"/>
      <c r="H1261" s="5"/>
    </row>
    <row r="1262" spans="1:8" x14ac:dyDescent="0.25">
      <c r="A1262" t="str" cm="1">
        <f t="array" aca="1" ref="A1262" ca="1">"aK_PREC_1_" &amp; INDIRECT("F" &amp; ROW(C1262) - 10) &amp; "_p"</f>
        <v>aK_PREC_1_9_3_p</v>
      </c>
      <c r="B1262">
        <v>0</v>
      </c>
      <c r="C1262" t="s">
        <v>4</v>
      </c>
      <c r="F1262" s="5"/>
    </row>
    <row r="1263" spans="1:8" x14ac:dyDescent="0.25">
      <c r="A1263" t="str" cm="1">
        <f t="array" aca="1" ref="A1263" ca="1">"aK_PREC_2_" &amp; INDIRECT("F" &amp; ROW(C1263) - 11) &amp; "_p"</f>
        <v>aK_PREC_2_9_3_p</v>
      </c>
      <c r="B1263">
        <v>0</v>
      </c>
      <c r="C1263" t="s">
        <v>5</v>
      </c>
    </row>
    <row r="1264" spans="1:8" x14ac:dyDescent="0.25">
      <c r="A1264" t="str" cm="1">
        <f t="array" aca="1" ref="A1264" ca="1">"aK_PREC_3_" &amp; INDIRECT("F" &amp; ROW(C1264) - 12) &amp; "_p"</f>
        <v>aK_PREC_3_9_3_p</v>
      </c>
      <c r="B1264">
        <v>2</v>
      </c>
      <c r="C1264" t="s">
        <v>6</v>
      </c>
    </row>
    <row r="1265" spans="1:8" x14ac:dyDescent="0.25">
      <c r="A1265" s="5" t="s">
        <v>9</v>
      </c>
      <c r="G1265" s="5"/>
      <c r="H1265" s="5"/>
    </row>
    <row r="1266" spans="1:8" x14ac:dyDescent="0.25">
      <c r="A1266" t="str" cm="1">
        <f t="array" aca="1" ref="A1266" ca="1">"aK_SL_1_" &amp; INDIRECT("F" &amp; ROW(C1266) - 14) &amp; "_p"</f>
        <v>aK_SL_1_9_3_p</v>
      </c>
      <c r="B1266">
        <v>0</v>
      </c>
      <c r="C1266" t="s">
        <v>4</v>
      </c>
      <c r="F1266" s="5"/>
    </row>
    <row r="1267" spans="1:8" x14ac:dyDescent="0.25">
      <c r="A1267" t="str" cm="1">
        <f t="array" aca="1" ref="A1267" ca="1">"aK_SL_2_" &amp; INDIRECT("F" &amp; ROW(C1267) - 15) &amp; "_p"</f>
        <v>aK_SL_2_9_3_p</v>
      </c>
      <c r="B1267">
        <v>0</v>
      </c>
      <c r="C1267" t="s">
        <v>5</v>
      </c>
    </row>
    <row r="1268" spans="1:8" x14ac:dyDescent="0.25">
      <c r="A1268" t="str" cm="1">
        <f t="array" aca="1" ref="A1268" ca="1">"aK_SL_3_" &amp; INDIRECT("F" &amp; ROW(C1268) - 16) &amp; "_p"</f>
        <v>aK_SL_3_9_3_p</v>
      </c>
      <c r="B1268">
        <v>2</v>
      </c>
      <c r="C1268" t="s">
        <v>6</v>
      </c>
    </row>
    <row r="1269" spans="1:8" x14ac:dyDescent="0.25">
      <c r="A1269" s="5" t="s">
        <v>95</v>
      </c>
    </row>
    <row r="1270" spans="1:8" x14ac:dyDescent="0.25">
      <c r="A1270" t="str" cm="1">
        <f t="array" aca="1" ref="A1270" ca="1">"aK_DRO_1_" &amp; INDIRECT("F" &amp; ROW(C1270) - 18) &amp; "_p"</f>
        <v>aK_DRO_1_9_3_p</v>
      </c>
      <c r="B1270">
        <v>0</v>
      </c>
      <c r="C1270" t="s">
        <v>4</v>
      </c>
    </row>
    <row r="1271" spans="1:8" x14ac:dyDescent="0.25">
      <c r="A1271" t="str" cm="1">
        <f t="array" aca="1" ref="A1271" ca="1">"aK_DRO_2_" &amp; INDIRECT("F" &amp; ROW(C1271) - 19) &amp; "_p"</f>
        <v>aK_DRO_2_9_3_p</v>
      </c>
      <c r="B1271">
        <v>0</v>
      </c>
      <c r="C1271" t="s">
        <v>5</v>
      </c>
    </row>
    <row r="1272" spans="1:8" x14ac:dyDescent="0.25">
      <c r="A1272" t="str" cm="1">
        <f t="array" aca="1" ref="A1272" ca="1">"aK_DRO_3_" &amp; INDIRECT("F" &amp; ROW(C1272) - 20) &amp; "_p"</f>
        <v>aK_DRO_3_9_3_p</v>
      </c>
      <c r="B1272">
        <v>2</v>
      </c>
      <c r="C1272" t="s">
        <v>6</v>
      </c>
    </row>
    <row r="1273" spans="1:8" x14ac:dyDescent="0.25">
      <c r="A1273" s="5" t="s">
        <v>96</v>
      </c>
    </row>
    <row r="1274" spans="1:8" x14ac:dyDescent="0.25">
      <c r="A1274" t="str" cm="1">
        <f t="array" aca="1" ref="A1274" ca="1">"aK_CYC_1_" &amp; INDIRECT("F" &amp; ROW(C1274) - 22) &amp; "_p"</f>
        <v>aK_CYC_1_9_3_p</v>
      </c>
      <c r="B1274">
        <v>0.1</v>
      </c>
      <c r="C1274" t="s">
        <v>4</v>
      </c>
    </row>
    <row r="1275" spans="1:8" x14ac:dyDescent="0.25">
      <c r="A1275" t="str" cm="1">
        <f t="array" aca="1" ref="A1275" ca="1">"aK_CYC_2_" &amp; INDIRECT("F" &amp; ROW(C1275) - 23) &amp; "_p"</f>
        <v>aK_CYC_2_9_3_p</v>
      </c>
      <c r="B1275">
        <v>0</v>
      </c>
      <c r="C1275" t="s">
        <v>5</v>
      </c>
    </row>
    <row r="1276" spans="1:8" x14ac:dyDescent="0.25">
      <c r="A1276" t="str" cm="1">
        <f t="array" aca="1" ref="A1276" ca="1">"aK_CYC_3_" &amp; INDIRECT("F" &amp; ROW(C1276) - 24) &amp; "_p"</f>
        <v>aK_CYC_3_9_3_p</v>
      </c>
      <c r="B1276">
        <v>2</v>
      </c>
      <c r="C1276" t="s">
        <v>6</v>
      </c>
    </row>
    <row r="1277" spans="1:8" x14ac:dyDescent="0.25">
      <c r="A1277" s="31" t="s">
        <v>152</v>
      </c>
      <c r="B1277" s="31"/>
      <c r="C1277" s="31"/>
      <c r="D1277" s="25">
        <v>9</v>
      </c>
      <c r="E1277" s="25">
        <v>4</v>
      </c>
      <c r="F1277" s="25" t="s">
        <v>159</v>
      </c>
    </row>
    <row r="1278" spans="1:8" x14ac:dyDescent="0.25">
      <c r="A1278" s="5" t="s">
        <v>3</v>
      </c>
    </row>
    <row r="1279" spans="1:8" x14ac:dyDescent="0.25">
      <c r="A1279" t="str" cm="1">
        <f t="array" aca="1" ref="A1279" ca="1">"aK_T_1_" &amp; INDIRECT("F" &amp; ROW(C1279)-2) &amp; "_p"</f>
        <v>aK_T_1_9_4_p</v>
      </c>
      <c r="B1279">
        <v>0</v>
      </c>
      <c r="C1279" t="s">
        <v>4</v>
      </c>
    </row>
    <row r="1280" spans="1:8" x14ac:dyDescent="0.25">
      <c r="A1280" t="str" cm="1">
        <f t="array" aca="1" ref="A1280" ca="1">"aK_T_2_" &amp; INDIRECT("F" &amp; ROW(C1280)-3) &amp; "_p"</f>
        <v>aK_T_2_9_4_p</v>
      </c>
      <c r="B1280">
        <v>0</v>
      </c>
      <c r="C1280" t="s">
        <v>5</v>
      </c>
    </row>
    <row r="1281" spans="1:8" x14ac:dyDescent="0.25">
      <c r="A1281" t="str" cm="1">
        <f t="array" aca="1" ref="A1281" ca="1">"aK_T_3_" &amp; INDIRECT("F" &amp; ROW(C1281)-4) &amp; "_p"</f>
        <v>aK_T_3_9_4_p</v>
      </c>
      <c r="B1281">
        <v>2</v>
      </c>
      <c r="C1281" t="s">
        <v>6</v>
      </c>
    </row>
    <row r="1282" spans="1:8" x14ac:dyDescent="0.25">
      <c r="A1282" s="5" t="s">
        <v>8</v>
      </c>
    </row>
    <row r="1283" spans="1:8" x14ac:dyDescent="0.25">
      <c r="A1283" t="str" cm="1">
        <f t="array" aca="1" ref="A1283" ca="1">"aK_WS_1_" &amp; INDIRECT("F" &amp; ROW(C1283)-6) &amp; "_p"</f>
        <v>aK_WS_1_9_4_p</v>
      </c>
      <c r="B1283">
        <v>0</v>
      </c>
      <c r="C1283" t="s">
        <v>4</v>
      </c>
    </row>
    <row r="1284" spans="1:8" x14ac:dyDescent="0.25">
      <c r="A1284" t="str" cm="1">
        <f t="array" aca="1" ref="A1284" ca="1">"aK_WS_2_" &amp; INDIRECT("F" &amp; ROW(C1284)-7) &amp; "_p"</f>
        <v>aK_WS_2_9_4_p</v>
      </c>
      <c r="B1284">
        <v>0</v>
      </c>
      <c r="C1284" t="s">
        <v>5</v>
      </c>
    </row>
    <row r="1285" spans="1:8" x14ac:dyDescent="0.25">
      <c r="A1285" t="str" cm="1">
        <f t="array" aca="1" ref="A1285" ca="1">"aK_WS_3_" &amp; INDIRECT("F" &amp; ROW(C1285)-8) &amp; "_p"</f>
        <v>aK_WS_3_9_4_p</v>
      </c>
      <c r="B1285">
        <v>2</v>
      </c>
      <c r="C1285" t="s">
        <v>6</v>
      </c>
    </row>
    <row r="1286" spans="1:8" x14ac:dyDescent="0.25">
      <c r="A1286" s="5" t="s">
        <v>7</v>
      </c>
      <c r="G1286" s="5"/>
      <c r="H1286" s="5"/>
    </row>
    <row r="1287" spans="1:8" x14ac:dyDescent="0.25">
      <c r="A1287" t="str" cm="1">
        <f t="array" aca="1" ref="A1287" ca="1">"aK_PREC_1_" &amp; INDIRECT("F" &amp; ROW(C1287) - 10) &amp; "_p"</f>
        <v>aK_PREC_1_9_4_p</v>
      </c>
      <c r="B1287">
        <v>0</v>
      </c>
      <c r="C1287" t="s">
        <v>4</v>
      </c>
      <c r="F1287" s="5"/>
    </row>
    <row r="1288" spans="1:8" x14ac:dyDescent="0.25">
      <c r="A1288" t="str" cm="1">
        <f t="array" aca="1" ref="A1288" ca="1">"aK_PREC_2_" &amp; INDIRECT("F" &amp; ROW(C1288) - 11) &amp; "_p"</f>
        <v>aK_PREC_2_9_4_p</v>
      </c>
      <c r="B1288">
        <v>0</v>
      </c>
      <c r="C1288" t="s">
        <v>5</v>
      </c>
    </row>
    <row r="1289" spans="1:8" x14ac:dyDescent="0.25">
      <c r="A1289" t="str" cm="1">
        <f t="array" aca="1" ref="A1289" ca="1">"aK_PREC_3_" &amp; INDIRECT("F" &amp; ROW(C1289) - 12) &amp; "_p"</f>
        <v>aK_PREC_3_9_4_p</v>
      </c>
      <c r="B1289">
        <v>2</v>
      </c>
      <c r="C1289" t="s">
        <v>6</v>
      </c>
    </row>
    <row r="1290" spans="1:8" x14ac:dyDescent="0.25">
      <c r="A1290" s="5" t="s">
        <v>9</v>
      </c>
      <c r="G1290" s="5"/>
      <c r="H1290" s="5"/>
    </row>
    <row r="1291" spans="1:8" x14ac:dyDescent="0.25">
      <c r="A1291" t="str" cm="1">
        <f t="array" aca="1" ref="A1291" ca="1">"aK_SL_1_" &amp; INDIRECT("F" &amp; ROW(C1291) - 14) &amp; "_p"</f>
        <v>aK_SL_1_9_4_p</v>
      </c>
      <c r="B1291">
        <v>0</v>
      </c>
      <c r="C1291" t="s">
        <v>4</v>
      </c>
      <c r="F1291" s="5"/>
    </row>
    <row r="1292" spans="1:8" x14ac:dyDescent="0.25">
      <c r="A1292" t="str" cm="1">
        <f t="array" aca="1" ref="A1292" ca="1">"aK_SL_2_" &amp; INDIRECT("F" &amp; ROW(C1292) - 15) &amp; "_p"</f>
        <v>aK_SL_2_9_4_p</v>
      </c>
      <c r="B1292">
        <v>0</v>
      </c>
      <c r="C1292" t="s">
        <v>5</v>
      </c>
    </row>
    <row r="1293" spans="1:8" x14ac:dyDescent="0.25">
      <c r="A1293" t="str" cm="1">
        <f t="array" aca="1" ref="A1293" ca="1">"aK_SL_3_" &amp; INDIRECT("F" &amp; ROW(C1293) - 16) &amp; "_p"</f>
        <v>aK_SL_3_9_4_p</v>
      </c>
      <c r="B1293">
        <v>2</v>
      </c>
      <c r="C1293" t="s">
        <v>6</v>
      </c>
    </row>
    <row r="1294" spans="1:8" x14ac:dyDescent="0.25">
      <c r="A1294" s="5" t="s">
        <v>95</v>
      </c>
    </row>
    <row r="1295" spans="1:8" x14ac:dyDescent="0.25">
      <c r="A1295" t="str" cm="1">
        <f t="array" aca="1" ref="A1295" ca="1">"aK_DRO_1_" &amp; INDIRECT("F" &amp; ROW(C1295) - 18) &amp; "_p"</f>
        <v>aK_DRO_1_9_4_p</v>
      </c>
      <c r="B1295">
        <v>0</v>
      </c>
      <c r="C1295" t="s">
        <v>4</v>
      </c>
    </row>
    <row r="1296" spans="1:8" x14ac:dyDescent="0.25">
      <c r="A1296" t="str" cm="1">
        <f t="array" aca="1" ref="A1296" ca="1">"aK_DRO_2_" &amp; INDIRECT("F" &amp; ROW(C1296) - 19) &amp; "_p"</f>
        <v>aK_DRO_2_9_4_p</v>
      </c>
      <c r="B1296">
        <v>0</v>
      </c>
      <c r="C1296" t="s">
        <v>5</v>
      </c>
    </row>
    <row r="1297" spans="1:8" x14ac:dyDescent="0.25">
      <c r="A1297" t="str" cm="1">
        <f t="array" aca="1" ref="A1297" ca="1">"aK_DRO_3_" &amp; INDIRECT("F" &amp; ROW(C1297) - 20) &amp; "_p"</f>
        <v>aK_DRO_3_9_4_p</v>
      </c>
      <c r="B1297">
        <v>2</v>
      </c>
      <c r="C1297" t="s">
        <v>6</v>
      </c>
    </row>
    <row r="1298" spans="1:8" x14ac:dyDescent="0.25">
      <c r="A1298" s="5" t="s">
        <v>96</v>
      </c>
    </row>
    <row r="1299" spans="1:8" x14ac:dyDescent="0.25">
      <c r="A1299" t="str" cm="1">
        <f t="array" aca="1" ref="A1299" ca="1">"aK_CYC_1_" &amp; INDIRECT("F" &amp; ROW(C1299) - 22) &amp; "_p"</f>
        <v>aK_CYC_1_9_4_p</v>
      </c>
      <c r="B1299">
        <v>0.1</v>
      </c>
      <c r="C1299" t="s">
        <v>4</v>
      </c>
    </row>
    <row r="1300" spans="1:8" x14ac:dyDescent="0.25">
      <c r="A1300" t="str" cm="1">
        <f t="array" aca="1" ref="A1300" ca="1">"aK_CYC_2_" &amp; INDIRECT("F" &amp; ROW(C1300) - 23) &amp; "_p"</f>
        <v>aK_CYC_2_9_4_p</v>
      </c>
      <c r="B1300">
        <v>0</v>
      </c>
      <c r="C1300" t="s">
        <v>5</v>
      </c>
    </row>
    <row r="1301" spans="1:8" x14ac:dyDescent="0.25">
      <c r="A1301" t="str" cm="1">
        <f t="array" aca="1" ref="A1301" ca="1">"aK_CYC_3_" &amp; INDIRECT("F" &amp; ROW(C1301) - 24) &amp; "_p"</f>
        <v>aK_CYC_3_9_4_p</v>
      </c>
      <c r="B1301">
        <v>2</v>
      </c>
      <c r="C1301" t="s">
        <v>6</v>
      </c>
    </row>
    <row r="1302" spans="1:8" x14ac:dyDescent="0.25">
      <c r="A1302" s="31" t="s">
        <v>155</v>
      </c>
      <c r="B1302" s="31"/>
      <c r="C1302" s="31"/>
      <c r="D1302" s="25">
        <v>9</v>
      </c>
      <c r="E1302" s="25">
        <v>5</v>
      </c>
      <c r="F1302" s="25" t="s">
        <v>158</v>
      </c>
    </row>
    <row r="1303" spans="1:8" x14ac:dyDescent="0.25">
      <c r="A1303" s="5" t="s">
        <v>3</v>
      </c>
    </row>
    <row r="1304" spans="1:8" x14ac:dyDescent="0.25">
      <c r="A1304" t="str" cm="1">
        <f t="array" aca="1" ref="A1304" ca="1">"aK_T_1_" &amp; INDIRECT("F" &amp; ROW(C1304)-2) &amp; "_p"</f>
        <v>aK_T_1_9_5_p</v>
      </c>
      <c r="B1304">
        <v>0</v>
      </c>
      <c r="C1304" t="s">
        <v>4</v>
      </c>
    </row>
    <row r="1305" spans="1:8" x14ac:dyDescent="0.25">
      <c r="A1305" t="str" cm="1">
        <f t="array" aca="1" ref="A1305" ca="1">"aK_T_2_" &amp; INDIRECT("F" &amp; ROW(C1305)-3) &amp; "_p"</f>
        <v>aK_T_2_9_5_p</v>
      </c>
      <c r="B1305">
        <v>0</v>
      </c>
      <c r="C1305" t="s">
        <v>5</v>
      </c>
    </row>
    <row r="1306" spans="1:8" x14ac:dyDescent="0.25">
      <c r="A1306" t="str" cm="1">
        <f t="array" aca="1" ref="A1306" ca="1">"aK_T_3_" &amp; INDIRECT("F" &amp; ROW(C1306)-4) &amp; "_p"</f>
        <v>aK_T_3_9_5_p</v>
      </c>
      <c r="B1306">
        <v>2</v>
      </c>
      <c r="C1306" t="s">
        <v>6</v>
      </c>
    </row>
    <row r="1307" spans="1:8" x14ac:dyDescent="0.25">
      <c r="A1307" s="5" t="s">
        <v>8</v>
      </c>
    </row>
    <row r="1308" spans="1:8" x14ac:dyDescent="0.25">
      <c r="A1308" t="str" cm="1">
        <f t="array" aca="1" ref="A1308" ca="1">"aK_WS_1_" &amp; INDIRECT("F" &amp; ROW(C1308)-6) &amp; "_p"</f>
        <v>aK_WS_1_9_5_p</v>
      </c>
      <c r="B1308">
        <v>0</v>
      </c>
      <c r="C1308" t="s">
        <v>4</v>
      </c>
    </row>
    <row r="1309" spans="1:8" x14ac:dyDescent="0.25">
      <c r="A1309" t="str" cm="1">
        <f t="array" aca="1" ref="A1309" ca="1">"aK_WS_2_" &amp; INDIRECT("F" &amp; ROW(C1309)-7) &amp; "_p"</f>
        <v>aK_WS_2_9_5_p</v>
      </c>
      <c r="B1309">
        <v>0</v>
      </c>
      <c r="C1309" t="s">
        <v>5</v>
      </c>
    </row>
    <row r="1310" spans="1:8" x14ac:dyDescent="0.25">
      <c r="A1310" t="str" cm="1">
        <f t="array" aca="1" ref="A1310" ca="1">"aK_WS_3_" &amp; INDIRECT("F" &amp; ROW(C1310)-8) &amp; "_p"</f>
        <v>aK_WS_3_9_5_p</v>
      </c>
      <c r="B1310">
        <v>2</v>
      </c>
      <c r="C1310" t="s">
        <v>6</v>
      </c>
    </row>
    <row r="1311" spans="1:8" x14ac:dyDescent="0.25">
      <c r="A1311" s="5" t="s">
        <v>7</v>
      </c>
      <c r="G1311" s="5"/>
      <c r="H1311" s="5"/>
    </row>
    <row r="1312" spans="1:8" x14ac:dyDescent="0.25">
      <c r="A1312" t="str" cm="1">
        <f t="array" aca="1" ref="A1312" ca="1">"aK_PREC_1_" &amp; INDIRECT("F" &amp; ROW(C1312) - 10) &amp; "_p"</f>
        <v>aK_PREC_1_9_5_p</v>
      </c>
      <c r="B1312">
        <v>0</v>
      </c>
      <c r="C1312" t="s">
        <v>4</v>
      </c>
      <c r="F1312" s="5"/>
    </row>
    <row r="1313" spans="1:8" x14ac:dyDescent="0.25">
      <c r="A1313" t="str" cm="1">
        <f t="array" aca="1" ref="A1313" ca="1">"aK_PREC_2_" &amp; INDIRECT("F" &amp; ROW(C1313) - 11) &amp; "_p"</f>
        <v>aK_PREC_2_9_5_p</v>
      </c>
      <c r="B1313">
        <v>0</v>
      </c>
      <c r="C1313" t="s">
        <v>5</v>
      </c>
    </row>
    <row r="1314" spans="1:8" x14ac:dyDescent="0.25">
      <c r="A1314" t="str" cm="1">
        <f t="array" aca="1" ref="A1314" ca="1">"aK_PREC_3_" &amp; INDIRECT("F" &amp; ROW(C1314) - 12) &amp; "_p"</f>
        <v>aK_PREC_3_9_5_p</v>
      </c>
      <c r="B1314">
        <v>2</v>
      </c>
      <c r="C1314" t="s">
        <v>6</v>
      </c>
    </row>
    <row r="1315" spans="1:8" x14ac:dyDescent="0.25">
      <c r="A1315" s="5" t="s">
        <v>9</v>
      </c>
      <c r="G1315" s="5"/>
      <c r="H1315" s="5"/>
    </row>
    <row r="1316" spans="1:8" x14ac:dyDescent="0.25">
      <c r="A1316" t="str" cm="1">
        <f t="array" aca="1" ref="A1316" ca="1">"aK_SL_1_" &amp; INDIRECT("F" &amp; ROW(C1316) - 14) &amp; "_p"</f>
        <v>aK_SL_1_9_5_p</v>
      </c>
      <c r="B1316">
        <v>0</v>
      </c>
      <c r="C1316" t="s">
        <v>4</v>
      </c>
      <c r="F1316" s="5"/>
    </row>
    <row r="1317" spans="1:8" x14ac:dyDescent="0.25">
      <c r="A1317" t="str" cm="1">
        <f t="array" aca="1" ref="A1317" ca="1">"aK_SL_2_" &amp; INDIRECT("F" &amp; ROW(C1317) - 15) &amp; "_p"</f>
        <v>aK_SL_2_9_5_p</v>
      </c>
      <c r="B1317">
        <v>0</v>
      </c>
      <c r="C1317" t="s">
        <v>5</v>
      </c>
    </row>
    <row r="1318" spans="1:8" x14ac:dyDescent="0.25">
      <c r="A1318" t="str" cm="1">
        <f t="array" aca="1" ref="A1318" ca="1">"aK_SL_3_" &amp; INDIRECT("F" &amp; ROW(C1318) - 16) &amp; "_p"</f>
        <v>aK_SL_3_9_5_p</v>
      </c>
      <c r="B1318">
        <v>2</v>
      </c>
      <c r="C1318" t="s">
        <v>6</v>
      </c>
    </row>
    <row r="1319" spans="1:8" x14ac:dyDescent="0.25">
      <c r="A1319" s="5" t="s">
        <v>95</v>
      </c>
    </row>
    <row r="1320" spans="1:8" x14ac:dyDescent="0.25">
      <c r="A1320" t="str" cm="1">
        <f t="array" aca="1" ref="A1320" ca="1">"aK_DRO_1_" &amp; INDIRECT("F" &amp; ROW(C1320) - 18) &amp; "_p"</f>
        <v>aK_DRO_1_9_5_p</v>
      </c>
      <c r="B1320">
        <v>0</v>
      </c>
      <c r="C1320" t="s">
        <v>4</v>
      </c>
    </row>
    <row r="1321" spans="1:8" x14ac:dyDescent="0.25">
      <c r="A1321" t="str" cm="1">
        <f t="array" aca="1" ref="A1321" ca="1">"aK_DRO_2_" &amp; INDIRECT("F" &amp; ROW(C1321) - 19) &amp; "_p"</f>
        <v>aK_DRO_2_9_5_p</v>
      </c>
      <c r="B1321">
        <v>0</v>
      </c>
      <c r="C1321" t="s">
        <v>5</v>
      </c>
    </row>
    <row r="1322" spans="1:8" x14ac:dyDescent="0.25">
      <c r="A1322" t="str" cm="1">
        <f t="array" aca="1" ref="A1322" ca="1">"aK_DRO_3_" &amp; INDIRECT("F" &amp; ROW(C1322) - 20) &amp; "_p"</f>
        <v>aK_DRO_3_9_5_p</v>
      </c>
      <c r="B1322">
        <v>2</v>
      </c>
      <c r="C1322" t="s">
        <v>6</v>
      </c>
    </row>
    <row r="1323" spans="1:8" x14ac:dyDescent="0.25">
      <c r="A1323" s="5" t="s">
        <v>96</v>
      </c>
    </row>
    <row r="1324" spans="1:8" x14ac:dyDescent="0.25">
      <c r="A1324" t="str" cm="1">
        <f t="array" aca="1" ref="A1324" ca="1">"aK_CYC_1_" &amp; INDIRECT("F" &amp; ROW(C1324) - 22) &amp; "_p"</f>
        <v>aK_CYC_1_9_5_p</v>
      </c>
      <c r="B1324">
        <v>0.1</v>
      </c>
      <c r="C1324" t="s">
        <v>4</v>
      </c>
    </row>
    <row r="1325" spans="1:8" x14ac:dyDescent="0.25">
      <c r="A1325" t="str" cm="1">
        <f t="array" aca="1" ref="A1325" ca="1">"aK_CYC_2_" &amp; INDIRECT("F" &amp; ROW(C1325) - 23) &amp; "_p"</f>
        <v>aK_CYC_2_9_5_p</v>
      </c>
      <c r="B1325">
        <v>0</v>
      </c>
      <c r="C1325" t="s">
        <v>5</v>
      </c>
    </row>
    <row r="1326" spans="1:8" x14ac:dyDescent="0.25">
      <c r="A1326" t="str" cm="1">
        <f t="array" aca="1" ref="A1326" ca="1">"aK_CYC_3_" &amp; INDIRECT("F" &amp; ROW(C1326) - 24) &amp; "_p"</f>
        <v>aK_CYC_3_9_5_p</v>
      </c>
      <c r="B1326">
        <v>2</v>
      </c>
      <c r="C1326" t="s">
        <v>6</v>
      </c>
    </row>
    <row r="1327" spans="1:8" x14ac:dyDescent="0.25">
      <c r="A1327" s="31" t="s">
        <v>156</v>
      </c>
      <c r="B1327" s="31"/>
      <c r="C1327" s="31"/>
      <c r="D1327" s="25">
        <v>9</v>
      </c>
      <c r="E1327" s="25">
        <v>6</v>
      </c>
      <c r="F1327" s="25" t="s">
        <v>157</v>
      </c>
    </row>
    <row r="1328" spans="1:8" x14ac:dyDescent="0.25">
      <c r="A1328" s="5" t="s">
        <v>3</v>
      </c>
    </row>
    <row r="1329" spans="1:8" x14ac:dyDescent="0.25">
      <c r="A1329" t="str" cm="1">
        <f t="array" aca="1" ref="A1329" ca="1">"aK_T_1_" &amp; INDIRECT("F" &amp; ROW(C1329)-2) &amp; "_p"</f>
        <v>aK_T_1_9_6_p</v>
      </c>
      <c r="B1329">
        <v>0</v>
      </c>
      <c r="C1329" t="s">
        <v>4</v>
      </c>
    </row>
    <row r="1330" spans="1:8" x14ac:dyDescent="0.25">
      <c r="A1330" t="str" cm="1">
        <f t="array" aca="1" ref="A1330" ca="1">"aK_T_2_" &amp; INDIRECT("F" &amp; ROW(C1330)-3) &amp; "_p"</f>
        <v>aK_T_2_9_6_p</v>
      </c>
      <c r="B1330">
        <v>0</v>
      </c>
      <c r="C1330" t="s">
        <v>5</v>
      </c>
    </row>
    <row r="1331" spans="1:8" x14ac:dyDescent="0.25">
      <c r="A1331" t="str" cm="1">
        <f t="array" aca="1" ref="A1331" ca="1">"aK_T_3_" &amp; INDIRECT("F" &amp; ROW(C1331)-4) &amp; "_p"</f>
        <v>aK_T_3_9_6_p</v>
      </c>
      <c r="B1331">
        <v>2</v>
      </c>
      <c r="C1331" t="s">
        <v>6</v>
      </c>
    </row>
    <row r="1332" spans="1:8" x14ac:dyDescent="0.25">
      <c r="A1332" s="5" t="s">
        <v>8</v>
      </c>
    </row>
    <row r="1333" spans="1:8" x14ac:dyDescent="0.25">
      <c r="A1333" t="str" cm="1">
        <f t="array" aca="1" ref="A1333" ca="1">"aK_WS_1_" &amp; INDIRECT("F" &amp; ROW(C1333)-6) &amp; "_p"</f>
        <v>aK_WS_1_9_6_p</v>
      </c>
      <c r="B1333">
        <v>0</v>
      </c>
      <c r="C1333" t="s">
        <v>4</v>
      </c>
    </row>
    <row r="1334" spans="1:8" x14ac:dyDescent="0.25">
      <c r="A1334" t="str" cm="1">
        <f t="array" aca="1" ref="A1334" ca="1">"aK_WS_2_" &amp; INDIRECT("F" &amp; ROW(C1334)-7) &amp; "_p"</f>
        <v>aK_WS_2_9_6_p</v>
      </c>
      <c r="B1334">
        <v>0</v>
      </c>
      <c r="C1334" t="s">
        <v>5</v>
      </c>
    </row>
    <row r="1335" spans="1:8" x14ac:dyDescent="0.25">
      <c r="A1335" t="str" cm="1">
        <f t="array" aca="1" ref="A1335" ca="1">"aK_WS_3_" &amp; INDIRECT("F" &amp; ROW(C1335)-8) &amp; "_p"</f>
        <v>aK_WS_3_9_6_p</v>
      </c>
      <c r="B1335">
        <v>2</v>
      </c>
      <c r="C1335" t="s">
        <v>6</v>
      </c>
    </row>
    <row r="1336" spans="1:8" x14ac:dyDescent="0.25">
      <c r="A1336" s="5" t="s">
        <v>7</v>
      </c>
      <c r="G1336" s="5"/>
      <c r="H1336" s="5"/>
    </row>
    <row r="1337" spans="1:8" x14ac:dyDescent="0.25">
      <c r="A1337" t="str" cm="1">
        <f t="array" aca="1" ref="A1337" ca="1">"aK_PREC_1_" &amp; INDIRECT("F" &amp; ROW(C1337) - 10) &amp; "_p"</f>
        <v>aK_PREC_1_9_6_p</v>
      </c>
      <c r="B1337">
        <v>0</v>
      </c>
      <c r="C1337" t="s">
        <v>4</v>
      </c>
      <c r="F1337" s="5"/>
    </row>
    <row r="1338" spans="1:8" x14ac:dyDescent="0.25">
      <c r="A1338" t="str" cm="1">
        <f t="array" aca="1" ref="A1338" ca="1">"aK_PREC_2_" &amp; INDIRECT("F" &amp; ROW(C1338) - 11) &amp; "_p"</f>
        <v>aK_PREC_2_9_6_p</v>
      </c>
      <c r="B1338">
        <v>0</v>
      </c>
      <c r="C1338" t="s">
        <v>5</v>
      </c>
    </row>
    <row r="1339" spans="1:8" x14ac:dyDescent="0.25">
      <c r="A1339" t="str" cm="1">
        <f t="array" aca="1" ref="A1339" ca="1">"aK_PREC_3_" &amp; INDIRECT("F" &amp; ROW(C1339) - 12) &amp; "_p"</f>
        <v>aK_PREC_3_9_6_p</v>
      </c>
      <c r="B1339">
        <v>2</v>
      </c>
      <c r="C1339" t="s">
        <v>6</v>
      </c>
    </row>
    <row r="1340" spans="1:8" x14ac:dyDescent="0.25">
      <c r="A1340" s="5" t="s">
        <v>9</v>
      </c>
      <c r="G1340" s="5"/>
      <c r="H1340" s="5"/>
    </row>
    <row r="1341" spans="1:8" x14ac:dyDescent="0.25">
      <c r="A1341" t="str" cm="1">
        <f t="array" aca="1" ref="A1341" ca="1">"aK_SL_1_" &amp; INDIRECT("F" &amp; ROW(C1341) - 14) &amp; "_p"</f>
        <v>aK_SL_1_9_6_p</v>
      </c>
      <c r="B1341">
        <v>0</v>
      </c>
      <c r="C1341" t="s">
        <v>4</v>
      </c>
      <c r="F1341" s="5"/>
    </row>
    <row r="1342" spans="1:8" x14ac:dyDescent="0.25">
      <c r="A1342" t="str" cm="1">
        <f t="array" aca="1" ref="A1342" ca="1">"aK_SL_2_" &amp; INDIRECT("F" &amp; ROW(C1342) - 15) &amp; "_p"</f>
        <v>aK_SL_2_9_6_p</v>
      </c>
      <c r="B1342">
        <v>0</v>
      </c>
      <c r="C1342" t="s">
        <v>5</v>
      </c>
    </row>
    <row r="1343" spans="1:8" x14ac:dyDescent="0.25">
      <c r="A1343" t="str" cm="1">
        <f t="array" aca="1" ref="A1343" ca="1">"aK_SL_3_" &amp; INDIRECT("F" &amp; ROW(C1343) - 16) &amp; "_p"</f>
        <v>aK_SL_3_9_6_p</v>
      </c>
      <c r="B1343">
        <v>2</v>
      </c>
      <c r="C1343" t="s">
        <v>6</v>
      </c>
    </row>
    <row r="1344" spans="1:8" x14ac:dyDescent="0.25">
      <c r="A1344" s="5" t="s">
        <v>95</v>
      </c>
    </row>
    <row r="1345" spans="1:3" x14ac:dyDescent="0.25">
      <c r="A1345" t="str" cm="1">
        <f t="array" aca="1" ref="A1345" ca="1">"aK_DRO_1_" &amp; INDIRECT("F" &amp; ROW(C1345) - 18) &amp; "_p"</f>
        <v>aK_DRO_1_9_6_p</v>
      </c>
      <c r="B1345">
        <v>0</v>
      </c>
      <c r="C1345" t="s">
        <v>4</v>
      </c>
    </row>
    <row r="1346" spans="1:3" x14ac:dyDescent="0.25">
      <c r="A1346" t="str" cm="1">
        <f t="array" aca="1" ref="A1346" ca="1">"aK_DRO_2_" &amp; INDIRECT("F" &amp; ROW(C1346) - 19) &amp; "_p"</f>
        <v>aK_DRO_2_9_6_p</v>
      </c>
      <c r="B1346">
        <v>0</v>
      </c>
      <c r="C1346" t="s">
        <v>5</v>
      </c>
    </row>
    <row r="1347" spans="1:3" x14ac:dyDescent="0.25">
      <c r="A1347" t="str" cm="1">
        <f t="array" aca="1" ref="A1347" ca="1">"aK_DRO_3_" &amp; INDIRECT("F" &amp; ROW(C1347) - 20) &amp; "_p"</f>
        <v>aK_DRO_3_9_6_p</v>
      </c>
      <c r="B1347">
        <v>2</v>
      </c>
      <c r="C1347" t="s">
        <v>6</v>
      </c>
    </row>
    <row r="1348" spans="1:3" x14ac:dyDescent="0.25">
      <c r="A1348" s="5" t="s">
        <v>96</v>
      </c>
    </row>
    <row r="1349" spans="1:3" x14ac:dyDescent="0.25">
      <c r="A1349" t="str" cm="1">
        <f t="array" aca="1" ref="A1349" ca="1">"aK_CYC_1_" &amp; INDIRECT("F" &amp; ROW(C1349) - 22) &amp; "_p"</f>
        <v>aK_CYC_1_9_6_p</v>
      </c>
      <c r="B1349">
        <v>0.1</v>
      </c>
      <c r="C1349" t="s">
        <v>4</v>
      </c>
    </row>
    <row r="1350" spans="1:3" x14ac:dyDescent="0.25">
      <c r="A1350" t="str" cm="1">
        <f t="array" aca="1" ref="A1350" ca="1">"aK_CYC_2_" &amp; INDIRECT("F" &amp; ROW(C1350) - 23) &amp; "_p"</f>
        <v>aK_CYC_2_9_6_p</v>
      </c>
      <c r="B1350">
        <v>0</v>
      </c>
      <c r="C1350" t="s">
        <v>5</v>
      </c>
    </row>
    <row r="1351" spans="1:3" x14ac:dyDescent="0.25">
      <c r="A1351" t="str" cm="1">
        <f t="array" aca="1" ref="A1351" ca="1">"aK_CYC_3_" &amp; INDIRECT("F" &amp; ROW(C1351) - 24) &amp; "_p"</f>
        <v>aK_CYC_3_9_6_p</v>
      </c>
      <c r="B1351">
        <v>2</v>
      </c>
      <c r="C1351" t="s">
        <v>6</v>
      </c>
    </row>
  </sheetData>
  <mergeCells count="81">
    <mergeCell ref="A2:C2"/>
    <mergeCell ref="F11:H11"/>
    <mergeCell ref="F15:H15"/>
    <mergeCell ref="A27:C27"/>
    <mergeCell ref="F36:H36"/>
    <mergeCell ref="F236:H236"/>
    <mergeCell ref="F240:H240"/>
    <mergeCell ref="A252:C252"/>
    <mergeCell ref="F261:H261"/>
    <mergeCell ref="F40:H40"/>
    <mergeCell ref="F140:H140"/>
    <mergeCell ref="A52:C52"/>
    <mergeCell ref="F61:H61"/>
    <mergeCell ref="F65:H65"/>
    <mergeCell ref="A77:C77"/>
    <mergeCell ref="F90:H90"/>
    <mergeCell ref="A102:C102"/>
    <mergeCell ref="F115:H115"/>
    <mergeCell ref="A127:C127"/>
    <mergeCell ref="F190:H190"/>
    <mergeCell ref="A202:C202"/>
    <mergeCell ref="F211:H211"/>
    <mergeCell ref="F215:H215"/>
    <mergeCell ref="A227:C227"/>
    <mergeCell ref="A152:C152"/>
    <mergeCell ref="F161:H161"/>
    <mergeCell ref="F165:H165"/>
    <mergeCell ref="A177:C177"/>
    <mergeCell ref="F186:H186"/>
    <mergeCell ref="F265:H265"/>
    <mergeCell ref="A727:C727"/>
    <mergeCell ref="A752:C752"/>
    <mergeCell ref="A277:C277"/>
    <mergeCell ref="F286:H286"/>
    <mergeCell ref="F290:H290"/>
    <mergeCell ref="A302:C302"/>
    <mergeCell ref="F311:H311"/>
    <mergeCell ref="A452:C452"/>
    <mergeCell ref="F366:H366"/>
    <mergeCell ref="A352:C352"/>
    <mergeCell ref="A377:C377"/>
    <mergeCell ref="A402:C402"/>
    <mergeCell ref="A427:C427"/>
    <mergeCell ref="F315:H315"/>
    <mergeCell ref="A327:C327"/>
    <mergeCell ref="F336:H336"/>
    <mergeCell ref="A602:C602"/>
    <mergeCell ref="A627:C627"/>
    <mergeCell ref="A652:C652"/>
    <mergeCell ref="A677:C677"/>
    <mergeCell ref="F340:H340"/>
    <mergeCell ref="F362:H362"/>
    <mergeCell ref="A702:C702"/>
    <mergeCell ref="A477:C477"/>
    <mergeCell ref="A502:C502"/>
    <mergeCell ref="A527:C527"/>
    <mergeCell ref="A552:C552"/>
    <mergeCell ref="A577:C577"/>
    <mergeCell ref="A1327:C1327"/>
    <mergeCell ref="A952:C952"/>
    <mergeCell ref="A977:C977"/>
    <mergeCell ref="A1002:C1002"/>
    <mergeCell ref="A1027:C1027"/>
    <mergeCell ref="A1052:C1052"/>
    <mergeCell ref="A1077:C1077"/>
    <mergeCell ref="A1102:C1102"/>
    <mergeCell ref="A1127:C1127"/>
    <mergeCell ref="A1152:C1152"/>
    <mergeCell ref="A1177:C1177"/>
    <mergeCell ref="A1202:C1202"/>
    <mergeCell ref="A1227:C1227"/>
    <mergeCell ref="A1252:C1252"/>
    <mergeCell ref="A1277:C1277"/>
    <mergeCell ref="A1302:C1302"/>
    <mergeCell ref="A902:C902"/>
    <mergeCell ref="A927:C927"/>
    <mergeCell ref="A777:C777"/>
    <mergeCell ref="A802:C802"/>
    <mergeCell ref="A827:C827"/>
    <mergeCell ref="A852:C852"/>
    <mergeCell ref="A877:C87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351"/>
  <sheetViews>
    <sheetView tabSelected="1" workbookViewId="0">
      <selection activeCell="H16" sqref="H16"/>
    </sheetView>
  </sheetViews>
  <sheetFormatPr defaultColWidth="11.42578125" defaultRowHeight="15" x14ac:dyDescent="0.25"/>
  <cols>
    <col min="1" max="1" width="24.28515625" customWidth="1"/>
  </cols>
  <sheetData>
    <row r="1" spans="1:9" x14ac:dyDescent="0.25">
      <c r="A1" s="23" t="s">
        <v>0</v>
      </c>
      <c r="B1" s="23" t="s">
        <v>1</v>
      </c>
      <c r="C1" s="23" t="s">
        <v>2</v>
      </c>
      <c r="D1" s="23"/>
      <c r="E1" s="19"/>
      <c r="F1" s="19"/>
    </row>
    <row r="2" spans="1:9" x14ac:dyDescent="0.25">
      <c r="A2" s="28" t="str">
        <f>"sector " &amp; D2 &amp; " and region " &amp;E2</f>
        <v>sector 1 and region 1</v>
      </c>
      <c r="B2" s="28"/>
      <c r="C2" s="28"/>
      <c r="D2" s="19">
        <v>1</v>
      </c>
      <c r="E2" s="19">
        <v>1</v>
      </c>
      <c r="F2" s="19" t="str">
        <f>D2 &amp; "_" &amp; E2</f>
        <v>1_1</v>
      </c>
    </row>
    <row r="3" spans="1:9" x14ac:dyDescent="0.25">
      <c r="A3" s="5" t="s">
        <v>3</v>
      </c>
    </row>
    <row r="4" spans="1:9" x14ac:dyDescent="0.25">
      <c r="A4" t="str" cm="1">
        <f t="array" aca="1" ref="A4" ca="1">"a_T_1_" &amp; INDIRECT("F" &amp; ROW(C4)-2) &amp; "_p"</f>
        <v>a_T_1_1_1_p</v>
      </c>
      <c r="B4">
        <v>0</v>
      </c>
      <c r="C4" t="s">
        <v>4</v>
      </c>
    </row>
    <row r="5" spans="1:9" x14ac:dyDescent="0.25">
      <c r="A5" t="str" cm="1">
        <f t="array" aca="1" ref="A5" ca="1">"a_T_2_" &amp; INDIRECT("F" &amp; ROW(C5)-3) &amp; "_p"</f>
        <v>a_T_2_1_1_p</v>
      </c>
      <c r="B5">
        <v>0</v>
      </c>
      <c r="C5" t="s">
        <v>5</v>
      </c>
    </row>
    <row r="6" spans="1:9" x14ac:dyDescent="0.25">
      <c r="A6" t="str" cm="1">
        <f t="array" aca="1" ref="A6" ca="1">"a_T_3_" &amp; INDIRECT("F" &amp; ROW(C6)-4) &amp; "_p"</f>
        <v>a_T_3_1_1_p</v>
      </c>
      <c r="B6">
        <v>2</v>
      </c>
      <c r="C6" t="s">
        <v>6</v>
      </c>
    </row>
    <row r="7" spans="1:9" x14ac:dyDescent="0.25">
      <c r="A7" s="5" t="s">
        <v>8</v>
      </c>
      <c r="I7">
        <f>B5*6^B6</f>
        <v>0</v>
      </c>
    </row>
    <row r="8" spans="1:9" x14ac:dyDescent="0.25">
      <c r="A8" t="str" cm="1">
        <f t="array" aca="1" ref="A8" ca="1">"a_WS_1_" &amp; INDIRECT("F" &amp; ROW(C8)-6) &amp; "_p"</f>
        <v>a_WS_1_1_1_p</v>
      </c>
      <c r="B8">
        <v>0</v>
      </c>
      <c r="C8" t="s">
        <v>4</v>
      </c>
    </row>
    <row r="9" spans="1:9" x14ac:dyDescent="0.25">
      <c r="A9" t="str" cm="1">
        <f t="array" aca="1" ref="A9" ca="1">"a_WS_2_" &amp; INDIRECT("F" &amp; ROW(C9)-7) &amp; "_p"</f>
        <v>a_WS_2_1_1_p</v>
      </c>
      <c r="B9">
        <v>0</v>
      </c>
      <c r="C9" t="s">
        <v>5</v>
      </c>
    </row>
    <row r="10" spans="1:9" x14ac:dyDescent="0.25">
      <c r="A10" t="str" cm="1">
        <f t="array" aca="1" ref="A10" ca="1">"a_WS_3_" &amp; INDIRECT("F" &amp; ROW(C10)-8) &amp; "_p"</f>
        <v>a_WS_3_1_1_p</v>
      </c>
      <c r="B10">
        <v>2</v>
      </c>
      <c r="C10" t="s">
        <v>6</v>
      </c>
    </row>
    <row r="11" spans="1:9" x14ac:dyDescent="0.25">
      <c r="A11" s="5" t="s">
        <v>7</v>
      </c>
      <c r="F11" s="27"/>
      <c r="G11" s="27"/>
      <c r="H11" s="27"/>
    </row>
    <row r="12" spans="1:9" x14ac:dyDescent="0.25">
      <c r="A12" t="str" cm="1">
        <f t="array" aca="1" ref="A12" ca="1">"a_PREC_1_" &amp; INDIRECT("F" &amp; ROW(C12) - 10) &amp; "_p"</f>
        <v>a_PREC_1_1_1_p</v>
      </c>
      <c r="B12">
        <v>0</v>
      </c>
      <c r="C12" t="s">
        <v>4</v>
      </c>
    </row>
    <row r="13" spans="1:9" x14ac:dyDescent="0.25">
      <c r="A13" t="str" cm="1">
        <f t="array" aca="1" ref="A13" ca="1">"a_PREC_2_" &amp; INDIRECT("F" &amp; ROW(C13) - 11) &amp; "_p"</f>
        <v>a_PREC_2_1_1_p</v>
      </c>
      <c r="B13">
        <v>0</v>
      </c>
      <c r="C13" t="s">
        <v>5</v>
      </c>
    </row>
    <row r="14" spans="1:9" x14ac:dyDescent="0.25">
      <c r="A14" t="str" cm="1">
        <f t="array" aca="1" ref="A14" ca="1">"a_PREC_3_" &amp; INDIRECT("F" &amp; ROW(C14) - 12) &amp; "_p"</f>
        <v>a_PREC_3_1_1_p</v>
      </c>
      <c r="B14">
        <v>2</v>
      </c>
      <c r="C14" t="s">
        <v>6</v>
      </c>
    </row>
    <row r="15" spans="1:9" x14ac:dyDescent="0.25">
      <c r="A15" s="5" t="s">
        <v>9</v>
      </c>
      <c r="F15" s="27"/>
      <c r="G15" s="27"/>
      <c r="H15" s="27"/>
    </row>
    <row r="16" spans="1:9" x14ac:dyDescent="0.25">
      <c r="A16" t="str" cm="1">
        <f t="array" aca="1" ref="A16" ca="1">"a_SL_1_" &amp; INDIRECT("F" &amp; ROW(C16) - 14) &amp; "_p"</f>
        <v>a_SL_1_1_1_p</v>
      </c>
      <c r="B16">
        <v>0</v>
      </c>
      <c r="C16" t="s">
        <v>4</v>
      </c>
    </row>
    <row r="17" spans="1:6" x14ac:dyDescent="0.25">
      <c r="A17" t="str" cm="1">
        <f t="array" aca="1" ref="A17" ca="1">"a_SL_2_" &amp; INDIRECT("F" &amp; ROW(C17) - 15) &amp; "_p"</f>
        <v>a_SL_2_1_1_p</v>
      </c>
      <c r="B17">
        <v>0</v>
      </c>
      <c r="C17" t="s">
        <v>5</v>
      </c>
    </row>
    <row r="18" spans="1:6" x14ac:dyDescent="0.25">
      <c r="A18" t="str" cm="1">
        <f t="array" aca="1" ref="A18" ca="1">"a_SL_3_" &amp; INDIRECT("F" &amp; ROW(C18) - 16) &amp; "_p"</f>
        <v>a_SL_3_1_1_p</v>
      </c>
      <c r="B18">
        <v>2</v>
      </c>
      <c r="C18" t="s">
        <v>6</v>
      </c>
    </row>
    <row r="19" spans="1:6" x14ac:dyDescent="0.25">
      <c r="A19" s="5" t="s">
        <v>95</v>
      </c>
    </row>
    <row r="20" spans="1:6" x14ac:dyDescent="0.25">
      <c r="A20" t="str" cm="1">
        <f t="array" aca="1" ref="A20" ca="1">"a_DRO_1_" &amp; INDIRECT("F" &amp; ROW(C20) - 18) &amp; "_p"</f>
        <v>a_DRO_1_1_1_p</v>
      </c>
      <c r="B20">
        <v>0</v>
      </c>
      <c r="C20" t="s">
        <v>4</v>
      </c>
    </row>
    <row r="21" spans="1:6" x14ac:dyDescent="0.25">
      <c r="A21" t="str" cm="1">
        <f t="array" aca="1" ref="A21" ca="1">"a_DRO_2_" &amp; INDIRECT("F" &amp; ROW(C21) - 19) &amp; "_p"</f>
        <v>a_DRO_2_1_1_p</v>
      </c>
      <c r="B21">
        <v>0</v>
      </c>
      <c r="C21" t="s">
        <v>5</v>
      </c>
    </row>
    <row r="22" spans="1:6" x14ac:dyDescent="0.25">
      <c r="A22" t="str" cm="1">
        <f t="array" aca="1" ref="A22" ca="1">"a_DRO_3_" &amp; INDIRECT("F" &amp; ROW(C22) - 20) &amp; "_p"</f>
        <v>a_DRO_3_1_1_p</v>
      </c>
      <c r="B22">
        <v>2</v>
      </c>
      <c r="C22" t="s">
        <v>6</v>
      </c>
    </row>
    <row r="23" spans="1:6" x14ac:dyDescent="0.25">
      <c r="A23" s="5" t="s">
        <v>96</v>
      </c>
    </row>
    <row r="24" spans="1:6" x14ac:dyDescent="0.25">
      <c r="A24" t="str" cm="1">
        <f t="array" aca="1" ref="A24" ca="1">"a_CYC_1_" &amp; INDIRECT("F" &amp; ROW(C24) - 22) &amp; "_p"</f>
        <v>a_CYC_1_1_1_p</v>
      </c>
      <c r="B24">
        <v>0.1</v>
      </c>
      <c r="C24" t="s">
        <v>4</v>
      </c>
    </row>
    <row r="25" spans="1:6" x14ac:dyDescent="0.25">
      <c r="A25" t="str" cm="1">
        <f t="array" aca="1" ref="A25" ca="1">"a_CYC_2_" &amp; INDIRECT("F" &amp; ROW(C25) - 23) &amp; "_p"</f>
        <v>a_CYC_2_1_1_p</v>
      </c>
      <c r="B25">
        <v>0</v>
      </c>
      <c r="C25" t="s">
        <v>5</v>
      </c>
    </row>
    <row r="26" spans="1:6" x14ac:dyDescent="0.25">
      <c r="A26" t="str" cm="1">
        <f t="array" aca="1" ref="A26" ca="1">"a_CYC_3_" &amp; INDIRECT("F" &amp; ROW(C26) - 24) &amp; "_p"</f>
        <v>a_CYC_3_1_1_p</v>
      </c>
      <c r="B26">
        <v>2</v>
      </c>
      <c r="C26" t="s">
        <v>6</v>
      </c>
    </row>
    <row r="27" spans="1:6" x14ac:dyDescent="0.25">
      <c r="A27" s="26" t="str">
        <f>"sector " &amp; D27 &amp; " and region " &amp;E27</f>
        <v>sector 1 and region 2</v>
      </c>
      <c r="B27" s="26"/>
      <c r="C27" s="26"/>
      <c r="D27" s="24">
        <v>1</v>
      </c>
      <c r="E27" s="24">
        <v>2</v>
      </c>
      <c r="F27" s="24" t="str">
        <f>D27 &amp; "_" &amp; E27</f>
        <v>1_2</v>
      </c>
    </row>
    <row r="28" spans="1:6" x14ac:dyDescent="0.25">
      <c r="A28" s="5" t="s">
        <v>3</v>
      </c>
    </row>
    <row r="29" spans="1:6" x14ac:dyDescent="0.25">
      <c r="A29" t="str" cm="1">
        <f t="array" aca="1" ref="A29" ca="1">"a_T_1_" &amp; INDIRECT("F" &amp; ROW(C29)-2) &amp; "_p"</f>
        <v>a_T_1_1_2_p</v>
      </c>
      <c r="B29">
        <v>0</v>
      </c>
      <c r="C29" t="s">
        <v>4</v>
      </c>
    </row>
    <row r="30" spans="1:6" x14ac:dyDescent="0.25">
      <c r="A30" t="str" cm="1">
        <f t="array" aca="1" ref="A30" ca="1">"a_T_2_" &amp; INDIRECT("F" &amp; ROW(C30)-3) &amp; "_p"</f>
        <v>a_T_2_1_2_p</v>
      </c>
      <c r="B30">
        <v>0</v>
      </c>
      <c r="C30" t="s">
        <v>5</v>
      </c>
    </row>
    <row r="31" spans="1:6" x14ac:dyDescent="0.25">
      <c r="A31" t="str" cm="1">
        <f t="array" aca="1" ref="A31" ca="1">"a_T_3_" &amp; INDIRECT("F" &amp; ROW(C31)-4) &amp; "_p"</f>
        <v>a_T_3_1_2_p</v>
      </c>
      <c r="B31">
        <v>2</v>
      </c>
      <c r="C31" t="s">
        <v>6</v>
      </c>
    </row>
    <row r="32" spans="1:6" x14ac:dyDescent="0.25">
      <c r="A32" s="5" t="s">
        <v>8</v>
      </c>
    </row>
    <row r="33" spans="1:8" x14ac:dyDescent="0.25">
      <c r="A33" t="str" cm="1">
        <f t="array" aca="1" ref="A33" ca="1">"a_WS_1_" &amp; INDIRECT("F" &amp; ROW(C33)-6) &amp; "_p"</f>
        <v>a_WS_1_1_2_p</v>
      </c>
      <c r="B33">
        <v>0</v>
      </c>
      <c r="C33" t="s">
        <v>4</v>
      </c>
    </row>
    <row r="34" spans="1:8" x14ac:dyDescent="0.25">
      <c r="A34" t="str" cm="1">
        <f t="array" aca="1" ref="A34" ca="1">"a_WS_2_" &amp; INDIRECT("F" &amp; ROW(C34)-7) &amp; "_p"</f>
        <v>a_WS_2_1_2_p</v>
      </c>
      <c r="B34">
        <v>0</v>
      </c>
      <c r="C34" t="s">
        <v>5</v>
      </c>
    </row>
    <row r="35" spans="1:8" x14ac:dyDescent="0.25">
      <c r="A35" t="str" cm="1">
        <f t="array" aca="1" ref="A35" ca="1">"a_WS_3_" &amp; INDIRECT("F" &amp; ROW(C35)-8) &amp; "_p"</f>
        <v>a_WS_3_1_2_p</v>
      </c>
      <c r="B35">
        <v>2</v>
      </c>
      <c r="C35" t="s">
        <v>6</v>
      </c>
    </row>
    <row r="36" spans="1:8" x14ac:dyDescent="0.25">
      <c r="A36" s="5" t="s">
        <v>7</v>
      </c>
      <c r="F36" s="27"/>
      <c r="G36" s="27"/>
      <c r="H36" s="27"/>
    </row>
    <row r="37" spans="1:8" x14ac:dyDescent="0.25">
      <c r="A37" t="str" cm="1">
        <f t="array" aca="1" ref="A37" ca="1">"a_PREC_1_" &amp; INDIRECT("F" &amp; ROW(C37) - 10) &amp; "_p"</f>
        <v>a_PREC_1_1_2_p</v>
      </c>
      <c r="B37">
        <v>0</v>
      </c>
      <c r="C37" t="s">
        <v>4</v>
      </c>
    </row>
    <row r="38" spans="1:8" x14ac:dyDescent="0.25">
      <c r="A38" t="str" cm="1">
        <f t="array" aca="1" ref="A38" ca="1">"a_PREC_2_" &amp; INDIRECT("F" &amp; ROW(C38) - 11) &amp; "_p"</f>
        <v>a_PREC_2_1_2_p</v>
      </c>
      <c r="B38">
        <v>0</v>
      </c>
      <c r="C38" t="s">
        <v>5</v>
      </c>
    </row>
    <row r="39" spans="1:8" x14ac:dyDescent="0.25">
      <c r="A39" t="str" cm="1">
        <f t="array" aca="1" ref="A39" ca="1">"a_PREC_3_" &amp; INDIRECT("F" &amp; ROW(C39) - 12) &amp; "_p"</f>
        <v>a_PREC_3_1_2_p</v>
      </c>
      <c r="B39">
        <v>2</v>
      </c>
      <c r="C39" t="s">
        <v>6</v>
      </c>
    </row>
    <row r="40" spans="1:8" x14ac:dyDescent="0.25">
      <c r="A40" s="5" t="s">
        <v>9</v>
      </c>
      <c r="F40" s="27"/>
      <c r="G40" s="27"/>
      <c r="H40" s="27"/>
    </row>
    <row r="41" spans="1:8" x14ac:dyDescent="0.25">
      <c r="A41" t="str" cm="1">
        <f t="array" aca="1" ref="A41" ca="1">"a_SL_1_" &amp; INDIRECT("F" &amp; ROW(C41) - 14) &amp; "_p"</f>
        <v>a_SL_1_1_2_p</v>
      </c>
      <c r="B41">
        <v>0</v>
      </c>
      <c r="C41" t="s">
        <v>4</v>
      </c>
    </row>
    <row r="42" spans="1:8" x14ac:dyDescent="0.25">
      <c r="A42" t="str" cm="1">
        <f t="array" aca="1" ref="A42" ca="1">"a_SL_2_" &amp; INDIRECT("F" &amp; ROW(C42) - 15) &amp; "_p"</f>
        <v>a_SL_2_1_2_p</v>
      </c>
      <c r="B42">
        <v>0</v>
      </c>
      <c r="C42" t="s">
        <v>5</v>
      </c>
    </row>
    <row r="43" spans="1:8" x14ac:dyDescent="0.25">
      <c r="A43" t="str" cm="1">
        <f t="array" aca="1" ref="A43" ca="1">"a_SL_3_" &amp; INDIRECT("F" &amp; ROW(C43) - 16) &amp; "_p"</f>
        <v>a_SL_3_1_2_p</v>
      </c>
      <c r="B43">
        <v>2</v>
      </c>
      <c r="C43" t="s">
        <v>6</v>
      </c>
    </row>
    <row r="44" spans="1:8" x14ac:dyDescent="0.25">
      <c r="A44" s="5" t="s">
        <v>95</v>
      </c>
    </row>
    <row r="45" spans="1:8" x14ac:dyDescent="0.25">
      <c r="A45" t="str" cm="1">
        <f t="array" aca="1" ref="A45" ca="1">"a_DRO_1_" &amp; INDIRECT("F" &amp; ROW(C45) - 18) &amp; "_p"</f>
        <v>a_DRO_1_1_2_p</v>
      </c>
      <c r="B45">
        <v>0</v>
      </c>
      <c r="C45" t="s">
        <v>4</v>
      </c>
    </row>
    <row r="46" spans="1:8" x14ac:dyDescent="0.25">
      <c r="A46" t="str" cm="1">
        <f t="array" aca="1" ref="A46" ca="1">"a_DRO_2_" &amp; INDIRECT("F" &amp; ROW(C46) - 19) &amp; "_p"</f>
        <v>a_DRO_2_1_2_p</v>
      </c>
      <c r="B46">
        <v>0</v>
      </c>
      <c r="C46" t="s">
        <v>5</v>
      </c>
    </row>
    <row r="47" spans="1:8" x14ac:dyDescent="0.25">
      <c r="A47" t="str" cm="1">
        <f t="array" aca="1" ref="A47" ca="1">"a_DRO_3_" &amp; INDIRECT("F" &amp; ROW(C47) - 20) &amp; "_p"</f>
        <v>a_DRO_3_1_2_p</v>
      </c>
      <c r="B47">
        <v>2</v>
      </c>
      <c r="C47" t="s">
        <v>6</v>
      </c>
    </row>
    <row r="48" spans="1:8" x14ac:dyDescent="0.25">
      <c r="A48" s="5" t="s">
        <v>96</v>
      </c>
    </row>
    <row r="49" spans="1:8" x14ac:dyDescent="0.25">
      <c r="A49" t="str" cm="1">
        <f t="array" aca="1" ref="A49" ca="1">"a_CYC_1_" &amp; INDIRECT("F" &amp; ROW(C49) - 22) &amp; "_p"</f>
        <v>a_CYC_1_1_2_p</v>
      </c>
      <c r="B49">
        <v>0.1</v>
      </c>
      <c r="C49" t="s">
        <v>4</v>
      </c>
    </row>
    <row r="50" spans="1:8" x14ac:dyDescent="0.25">
      <c r="A50" t="str" cm="1">
        <f t="array" aca="1" ref="A50" ca="1">"a_CYC_2_" &amp; INDIRECT("F" &amp; ROW(C50) - 23) &amp; "_p"</f>
        <v>a_CYC_2_1_2_p</v>
      </c>
      <c r="B50">
        <v>0</v>
      </c>
      <c r="C50" t="s">
        <v>5</v>
      </c>
    </row>
    <row r="51" spans="1:8" x14ac:dyDescent="0.25">
      <c r="A51" t="str" cm="1">
        <f t="array" aca="1" ref="A51" ca="1">"a_CYC_3_" &amp; INDIRECT("F" &amp; ROW(C51) - 24) &amp; "_p"</f>
        <v>a_CYC_3_1_2_p</v>
      </c>
      <c r="B51">
        <v>2</v>
      </c>
      <c r="C51" t="s">
        <v>6</v>
      </c>
    </row>
    <row r="52" spans="1:8" x14ac:dyDescent="0.25">
      <c r="A52" s="26" t="str">
        <f>"sector " &amp; D52 &amp; " and region " &amp;E52</f>
        <v>sector 1 and region 3</v>
      </c>
      <c r="B52" s="26"/>
      <c r="C52" s="26"/>
      <c r="D52" s="24">
        <v>1</v>
      </c>
      <c r="E52" s="24">
        <v>3</v>
      </c>
      <c r="F52" s="24" t="str">
        <f>D52 &amp; "_" &amp; E52</f>
        <v>1_3</v>
      </c>
    </row>
    <row r="53" spans="1:8" x14ac:dyDescent="0.25">
      <c r="A53" s="5" t="s">
        <v>3</v>
      </c>
    </row>
    <row r="54" spans="1:8" x14ac:dyDescent="0.25">
      <c r="A54" t="str" cm="1">
        <f t="array" aca="1" ref="A54" ca="1">"a_T_1_" &amp; INDIRECT("F" &amp; ROW(C54)-2) &amp; "_p"</f>
        <v>a_T_1_1_3_p</v>
      </c>
      <c r="B54">
        <v>0</v>
      </c>
      <c r="C54" t="s">
        <v>4</v>
      </c>
    </row>
    <row r="55" spans="1:8" x14ac:dyDescent="0.25">
      <c r="A55" t="str" cm="1">
        <f t="array" aca="1" ref="A55" ca="1">"a_T_2_" &amp; INDIRECT("F" &amp; ROW(C55)-3) &amp; "_p"</f>
        <v>a_T_2_1_3_p</v>
      </c>
      <c r="B55">
        <v>0</v>
      </c>
      <c r="C55" t="s">
        <v>5</v>
      </c>
    </row>
    <row r="56" spans="1:8" x14ac:dyDescent="0.25">
      <c r="A56" t="str" cm="1">
        <f t="array" aca="1" ref="A56" ca="1">"a_T_3_" &amp; INDIRECT("F" &amp; ROW(C56)-4) &amp; "_p"</f>
        <v>a_T_3_1_3_p</v>
      </c>
      <c r="B56">
        <v>2</v>
      </c>
      <c r="C56" t="s">
        <v>6</v>
      </c>
    </row>
    <row r="57" spans="1:8" x14ac:dyDescent="0.25">
      <c r="A57" s="5" t="s">
        <v>8</v>
      </c>
    </row>
    <row r="58" spans="1:8" x14ac:dyDescent="0.25">
      <c r="A58" t="str" cm="1">
        <f t="array" aca="1" ref="A58" ca="1">"a_WS_1_" &amp; INDIRECT("F" &amp; ROW(C58)-6) &amp; "_p"</f>
        <v>a_WS_1_1_3_p</v>
      </c>
      <c r="B58">
        <v>0</v>
      </c>
      <c r="C58" t="s">
        <v>4</v>
      </c>
    </row>
    <row r="59" spans="1:8" x14ac:dyDescent="0.25">
      <c r="A59" t="str" cm="1">
        <f t="array" aca="1" ref="A59" ca="1">"a_WS_2_" &amp; INDIRECT("F" &amp; ROW(C59)-7) &amp; "_p"</f>
        <v>a_WS_2_1_3_p</v>
      </c>
      <c r="B59">
        <v>0</v>
      </c>
      <c r="C59" t="s">
        <v>5</v>
      </c>
    </row>
    <row r="60" spans="1:8" x14ac:dyDescent="0.25">
      <c r="A60" t="str" cm="1">
        <f t="array" aca="1" ref="A60" ca="1">"a_WS_3_" &amp; INDIRECT("F" &amp; ROW(C60)-8) &amp; "_p"</f>
        <v>a_WS_3_1_3_p</v>
      </c>
      <c r="B60">
        <v>2</v>
      </c>
      <c r="C60" t="s">
        <v>6</v>
      </c>
    </row>
    <row r="61" spans="1:8" x14ac:dyDescent="0.25">
      <c r="A61" s="5" t="s">
        <v>7</v>
      </c>
      <c r="F61" s="27"/>
      <c r="G61" s="27"/>
      <c r="H61" s="27"/>
    </row>
    <row r="62" spans="1:8" x14ac:dyDescent="0.25">
      <c r="A62" t="str" cm="1">
        <f t="array" aca="1" ref="A62" ca="1">"a_PREC_1_" &amp; INDIRECT("F" &amp; ROW(C62) - 10) &amp; "_p"</f>
        <v>a_PREC_1_1_3_p</v>
      </c>
      <c r="B62">
        <v>0</v>
      </c>
      <c r="C62" t="s">
        <v>4</v>
      </c>
    </row>
    <row r="63" spans="1:8" x14ac:dyDescent="0.25">
      <c r="A63" t="str" cm="1">
        <f t="array" aca="1" ref="A63" ca="1">"a_PREC_2_" &amp; INDIRECT("F" &amp; ROW(C63) - 11) &amp; "_p"</f>
        <v>a_PREC_2_1_3_p</v>
      </c>
      <c r="B63">
        <v>0</v>
      </c>
      <c r="C63" t="s">
        <v>5</v>
      </c>
    </row>
    <row r="64" spans="1:8" x14ac:dyDescent="0.25">
      <c r="A64" t="str" cm="1">
        <f t="array" aca="1" ref="A64" ca="1">"a_PREC_3_" &amp; INDIRECT("F" &amp; ROW(C64) - 12) &amp; "_p"</f>
        <v>a_PREC_3_1_3_p</v>
      </c>
      <c r="B64">
        <v>2</v>
      </c>
      <c r="C64" t="s">
        <v>6</v>
      </c>
    </row>
    <row r="65" spans="1:8" x14ac:dyDescent="0.25">
      <c r="A65" s="5" t="s">
        <v>9</v>
      </c>
      <c r="F65" s="27"/>
      <c r="G65" s="27"/>
      <c r="H65" s="27"/>
    </row>
    <row r="66" spans="1:8" x14ac:dyDescent="0.25">
      <c r="A66" t="str" cm="1">
        <f t="array" aca="1" ref="A66" ca="1">"a_SL_1_" &amp; INDIRECT("F" &amp; ROW(C66) - 14) &amp; "_p"</f>
        <v>a_SL_1_1_3_p</v>
      </c>
      <c r="B66">
        <v>0</v>
      </c>
      <c r="C66" t="s">
        <v>4</v>
      </c>
    </row>
    <row r="67" spans="1:8" x14ac:dyDescent="0.25">
      <c r="A67" t="str" cm="1">
        <f t="array" aca="1" ref="A67" ca="1">"a_SL_2_" &amp; INDIRECT("F" &amp; ROW(C67) - 15) &amp; "_p"</f>
        <v>a_SL_2_1_3_p</v>
      </c>
      <c r="B67">
        <v>0</v>
      </c>
      <c r="C67" t="s">
        <v>5</v>
      </c>
    </row>
    <row r="68" spans="1:8" x14ac:dyDescent="0.25">
      <c r="A68" t="str" cm="1">
        <f t="array" aca="1" ref="A68" ca="1">"a_SL_3_" &amp; INDIRECT("F" &amp; ROW(C68) - 16) &amp; "_p"</f>
        <v>a_SL_3_1_3_p</v>
      </c>
      <c r="B68">
        <v>2</v>
      </c>
      <c r="C68" t="s">
        <v>6</v>
      </c>
    </row>
    <row r="69" spans="1:8" x14ac:dyDescent="0.25">
      <c r="A69" s="5" t="s">
        <v>95</v>
      </c>
    </row>
    <row r="70" spans="1:8" x14ac:dyDescent="0.25">
      <c r="A70" t="str" cm="1">
        <f t="array" aca="1" ref="A70" ca="1">"a_DRO_1_" &amp; INDIRECT("F" &amp; ROW(C70) - 18) &amp; "_p"</f>
        <v>a_DRO_1_1_3_p</v>
      </c>
      <c r="B70">
        <v>0</v>
      </c>
      <c r="C70" t="s">
        <v>4</v>
      </c>
    </row>
    <row r="71" spans="1:8" x14ac:dyDescent="0.25">
      <c r="A71" t="str" cm="1">
        <f t="array" aca="1" ref="A71" ca="1">"a_DRO_2_" &amp; INDIRECT("F" &amp; ROW(C71) - 19) &amp; "_p"</f>
        <v>a_DRO_2_1_3_p</v>
      </c>
      <c r="B71">
        <v>0</v>
      </c>
      <c r="C71" t="s">
        <v>5</v>
      </c>
    </row>
    <row r="72" spans="1:8" x14ac:dyDescent="0.25">
      <c r="A72" t="str" cm="1">
        <f t="array" aca="1" ref="A72" ca="1">"a_DRO_3_" &amp; INDIRECT("F" &amp; ROW(C72) - 20) &amp; "_p"</f>
        <v>a_DRO_3_1_3_p</v>
      </c>
      <c r="B72">
        <v>2</v>
      </c>
      <c r="C72" t="s">
        <v>6</v>
      </c>
    </row>
    <row r="73" spans="1:8" x14ac:dyDescent="0.25">
      <c r="A73" s="5" t="s">
        <v>96</v>
      </c>
    </row>
    <row r="74" spans="1:8" x14ac:dyDescent="0.25">
      <c r="A74" t="str" cm="1">
        <f t="array" aca="1" ref="A74" ca="1">"a_CYC_1_" &amp; INDIRECT("F" &amp; ROW(C74) - 22) &amp; "_p"</f>
        <v>a_CYC_1_1_3_p</v>
      </c>
      <c r="B74">
        <v>0.1</v>
      </c>
      <c r="C74" t="s">
        <v>4</v>
      </c>
    </row>
    <row r="75" spans="1:8" x14ac:dyDescent="0.25">
      <c r="A75" t="str" cm="1">
        <f t="array" aca="1" ref="A75" ca="1">"a_CYC_2_" &amp; INDIRECT("F" &amp; ROW(C75) - 23) &amp; "_p"</f>
        <v>a_CYC_2_1_3_p</v>
      </c>
      <c r="B75">
        <v>0</v>
      </c>
      <c r="C75" t="s">
        <v>5</v>
      </c>
    </row>
    <row r="76" spans="1:8" x14ac:dyDescent="0.25">
      <c r="A76" t="str" cm="1">
        <f t="array" aca="1" ref="A76" ca="1">"a_CYC_3_" &amp; INDIRECT("F" &amp; ROW(C76) - 24) &amp; "_p"</f>
        <v>a_CYC_3_1_3_p</v>
      </c>
      <c r="B76">
        <v>2</v>
      </c>
      <c r="C76" t="s">
        <v>6</v>
      </c>
    </row>
    <row r="77" spans="1:8" x14ac:dyDescent="0.25">
      <c r="A77" s="26" t="str">
        <f>"sector " &amp; D77 &amp; " and region " &amp;E77</f>
        <v>sector 1 and region 4</v>
      </c>
      <c r="B77" s="26"/>
      <c r="C77" s="26"/>
      <c r="D77" s="24">
        <v>1</v>
      </c>
      <c r="E77" s="24">
        <v>4</v>
      </c>
      <c r="F77" s="24" t="str">
        <f>D77 &amp; "_" &amp; E77</f>
        <v>1_4</v>
      </c>
    </row>
    <row r="78" spans="1:8" x14ac:dyDescent="0.25">
      <c r="A78" s="5" t="s">
        <v>3</v>
      </c>
    </row>
    <row r="79" spans="1:8" x14ac:dyDescent="0.25">
      <c r="A79" t="str" cm="1">
        <f t="array" aca="1" ref="A79" ca="1">"a_T_1_" &amp; INDIRECT("F" &amp; ROW(C79)-2) &amp; "_p"</f>
        <v>a_T_1_1_4_p</v>
      </c>
      <c r="B79">
        <v>0</v>
      </c>
      <c r="C79" t="s">
        <v>4</v>
      </c>
    </row>
    <row r="80" spans="1:8" x14ac:dyDescent="0.25">
      <c r="A80" t="str" cm="1">
        <f t="array" aca="1" ref="A80" ca="1">"a_T_2_" &amp; INDIRECT("F" &amp; ROW(C80)-3) &amp; "_p"</f>
        <v>a_T_2_1_4_p</v>
      </c>
      <c r="B80">
        <v>0</v>
      </c>
      <c r="C80" t="s">
        <v>5</v>
      </c>
    </row>
    <row r="81" spans="1:8" x14ac:dyDescent="0.25">
      <c r="A81" t="str" cm="1">
        <f t="array" aca="1" ref="A81" ca="1">"a_T_3_" &amp; INDIRECT("F" &amp; ROW(C81)-4) &amp; "_p"</f>
        <v>a_T_3_1_4_p</v>
      </c>
      <c r="B81">
        <v>2</v>
      </c>
      <c r="C81" t="s">
        <v>6</v>
      </c>
    </row>
    <row r="82" spans="1:8" x14ac:dyDescent="0.25">
      <c r="A82" s="5" t="s">
        <v>8</v>
      </c>
    </row>
    <row r="83" spans="1:8" x14ac:dyDescent="0.25">
      <c r="A83" t="str" cm="1">
        <f t="array" aca="1" ref="A83" ca="1">"a_WS_1_" &amp; INDIRECT("F" &amp; ROW(C83)-6) &amp; "_p"</f>
        <v>a_WS_1_1_4_p</v>
      </c>
      <c r="B83">
        <v>0</v>
      </c>
      <c r="C83" t="s">
        <v>4</v>
      </c>
    </row>
    <row r="84" spans="1:8" x14ac:dyDescent="0.25">
      <c r="A84" t="str" cm="1">
        <f t="array" aca="1" ref="A84" ca="1">"a_WS_2_" &amp; INDIRECT("F" &amp; ROW(C84)-7) &amp; "_p"</f>
        <v>a_WS_2_1_4_p</v>
      </c>
      <c r="B84">
        <v>0</v>
      </c>
      <c r="C84" t="s">
        <v>5</v>
      </c>
    </row>
    <row r="85" spans="1:8" x14ac:dyDescent="0.25">
      <c r="A85" t="str" cm="1">
        <f t="array" aca="1" ref="A85" ca="1">"a_WS_3_" &amp; INDIRECT("F" &amp; ROW(C85)-8) &amp; "_p"</f>
        <v>a_WS_3_1_4_p</v>
      </c>
      <c r="B85">
        <v>2</v>
      </c>
      <c r="C85" t="s">
        <v>6</v>
      </c>
    </row>
    <row r="86" spans="1:8" x14ac:dyDescent="0.25">
      <c r="A86" s="5" t="s">
        <v>7</v>
      </c>
    </row>
    <row r="87" spans="1:8" x14ac:dyDescent="0.25">
      <c r="A87" t="str" cm="1">
        <f t="array" aca="1" ref="A87" ca="1">"a_PREC_1_" &amp; INDIRECT("F" &amp; ROW(C87) - 10) &amp; "_p"</f>
        <v>a_PREC_1_1_4_p</v>
      </c>
      <c r="B87">
        <v>0</v>
      </c>
      <c r="C87" t="s">
        <v>4</v>
      </c>
    </row>
    <row r="88" spans="1:8" x14ac:dyDescent="0.25">
      <c r="A88" t="str" cm="1">
        <f t="array" aca="1" ref="A88" ca="1">"a_PREC_2_" &amp; INDIRECT("F" &amp; ROW(C88) - 11) &amp; "_p"</f>
        <v>a_PREC_2_1_4_p</v>
      </c>
      <c r="B88">
        <v>0</v>
      </c>
      <c r="C88" t="s">
        <v>5</v>
      </c>
    </row>
    <row r="89" spans="1:8" x14ac:dyDescent="0.25">
      <c r="A89" t="str" cm="1">
        <f t="array" aca="1" ref="A89" ca="1">"a_PREC_3_" &amp; INDIRECT("F" &amp; ROW(C89) - 12) &amp; "_p"</f>
        <v>a_PREC_3_1_4_p</v>
      </c>
      <c r="B89">
        <v>2</v>
      </c>
      <c r="C89" t="s">
        <v>6</v>
      </c>
    </row>
    <row r="90" spans="1:8" x14ac:dyDescent="0.25">
      <c r="A90" s="5" t="s">
        <v>9</v>
      </c>
      <c r="F90" s="27"/>
      <c r="G90" s="27"/>
      <c r="H90" s="27"/>
    </row>
    <row r="91" spans="1:8" x14ac:dyDescent="0.25">
      <c r="A91" t="str" cm="1">
        <f t="array" aca="1" ref="A91" ca="1">"a_SL_1_" &amp; INDIRECT("F" &amp; ROW(C91) - 14) &amp; "_p"</f>
        <v>a_SL_1_1_4_p</v>
      </c>
      <c r="B91">
        <v>0</v>
      </c>
      <c r="C91" t="s">
        <v>4</v>
      </c>
    </row>
    <row r="92" spans="1:8" x14ac:dyDescent="0.25">
      <c r="A92" t="str" cm="1">
        <f t="array" aca="1" ref="A92" ca="1">"a_SL_2_" &amp; INDIRECT("F" &amp; ROW(C92) - 15) &amp; "_p"</f>
        <v>a_SL_2_1_4_p</v>
      </c>
      <c r="B92">
        <v>0</v>
      </c>
      <c r="C92" t="s">
        <v>5</v>
      </c>
    </row>
    <row r="93" spans="1:8" x14ac:dyDescent="0.25">
      <c r="A93" t="str" cm="1">
        <f t="array" aca="1" ref="A93" ca="1">"a_SL_3_" &amp; INDIRECT("F" &amp; ROW(C93) - 16) &amp; "_p"</f>
        <v>a_SL_3_1_4_p</v>
      </c>
      <c r="B93">
        <v>2</v>
      </c>
      <c r="C93" t="s">
        <v>6</v>
      </c>
    </row>
    <row r="94" spans="1:8" x14ac:dyDescent="0.25">
      <c r="A94" s="5" t="s">
        <v>95</v>
      </c>
    </row>
    <row r="95" spans="1:8" x14ac:dyDescent="0.25">
      <c r="A95" t="str" cm="1">
        <f t="array" aca="1" ref="A95" ca="1">"a_DRO_1_" &amp; INDIRECT("F" &amp; ROW(C95) - 18) &amp; "_p"</f>
        <v>a_DRO_1_1_4_p</v>
      </c>
      <c r="B95">
        <v>0</v>
      </c>
      <c r="C95" t="s">
        <v>4</v>
      </c>
    </row>
    <row r="96" spans="1:8" x14ac:dyDescent="0.25">
      <c r="A96" t="str" cm="1">
        <f t="array" aca="1" ref="A96" ca="1">"a_DRO_2_" &amp; INDIRECT("F" &amp; ROW(C96) - 19) &amp; "_p"</f>
        <v>a_DRO_2_1_4_p</v>
      </c>
      <c r="B96">
        <v>0</v>
      </c>
      <c r="C96" t="s">
        <v>5</v>
      </c>
    </row>
    <row r="97" spans="1:6" x14ac:dyDescent="0.25">
      <c r="A97" t="str" cm="1">
        <f t="array" aca="1" ref="A97" ca="1">"a_DRO_3_" &amp; INDIRECT("F" &amp; ROW(C97) - 20) &amp; "_p"</f>
        <v>a_DRO_3_1_4_p</v>
      </c>
      <c r="B97">
        <v>2</v>
      </c>
      <c r="C97" t="s">
        <v>6</v>
      </c>
    </row>
    <row r="98" spans="1:6" x14ac:dyDescent="0.25">
      <c r="A98" s="5" t="s">
        <v>96</v>
      </c>
    </row>
    <row r="99" spans="1:6" x14ac:dyDescent="0.25">
      <c r="A99" t="str" cm="1">
        <f t="array" aca="1" ref="A99" ca="1">"a_CYC_1_" &amp; INDIRECT("F" &amp; ROW(C99) - 22) &amp; "_p"</f>
        <v>a_CYC_1_1_4_p</v>
      </c>
      <c r="B99">
        <v>0.1</v>
      </c>
      <c r="C99" t="s">
        <v>4</v>
      </c>
    </row>
    <row r="100" spans="1:6" x14ac:dyDescent="0.25">
      <c r="A100" t="str" cm="1">
        <f t="array" aca="1" ref="A100" ca="1">"a_CYC_2_" &amp; INDIRECT("F" &amp; ROW(C100) - 23) &amp; "_p"</f>
        <v>a_CYC_2_1_4_p</v>
      </c>
      <c r="B100">
        <v>0</v>
      </c>
      <c r="C100" t="s">
        <v>5</v>
      </c>
    </row>
    <row r="101" spans="1:6" x14ac:dyDescent="0.25">
      <c r="A101" t="str" cm="1">
        <f t="array" aca="1" ref="A101" ca="1">"a_CYC_3_" &amp; INDIRECT("F" &amp; ROW(C101) - 24) &amp; "_p"</f>
        <v>a_CYC_3_1_4_p</v>
      </c>
      <c r="B101">
        <v>2</v>
      </c>
      <c r="C101" t="s">
        <v>6</v>
      </c>
    </row>
    <row r="102" spans="1:6" x14ac:dyDescent="0.25">
      <c r="A102" s="26" t="str">
        <f>"sector " &amp; D102 &amp; " and region " &amp;E102</f>
        <v>sector 1 and region 5</v>
      </c>
      <c r="B102" s="26"/>
      <c r="C102" s="26"/>
      <c r="D102" s="24">
        <v>1</v>
      </c>
      <c r="E102" s="24">
        <v>5</v>
      </c>
      <c r="F102" s="24" t="str">
        <f>D102 &amp; "_" &amp; E102</f>
        <v>1_5</v>
      </c>
    </row>
    <row r="103" spans="1:6" x14ac:dyDescent="0.25">
      <c r="A103" s="5" t="s">
        <v>3</v>
      </c>
    </row>
    <row r="104" spans="1:6" x14ac:dyDescent="0.25">
      <c r="A104" t="str" cm="1">
        <f t="array" aca="1" ref="A104" ca="1">"a_T_1_" &amp; INDIRECT("F" &amp; ROW(C104)-2) &amp; "_p"</f>
        <v>a_T_1_1_5_p</v>
      </c>
      <c r="B104">
        <v>0</v>
      </c>
      <c r="C104" t="s">
        <v>4</v>
      </c>
    </row>
    <row r="105" spans="1:6" x14ac:dyDescent="0.25">
      <c r="A105" t="str" cm="1">
        <f t="array" aca="1" ref="A105" ca="1">"a_T_2_" &amp; INDIRECT("F" &amp; ROW(C105)-3) &amp; "_p"</f>
        <v>a_T_2_1_5_p</v>
      </c>
      <c r="B105">
        <v>0</v>
      </c>
      <c r="C105" t="s">
        <v>5</v>
      </c>
    </row>
    <row r="106" spans="1:6" x14ac:dyDescent="0.25">
      <c r="A106" t="str" cm="1">
        <f t="array" aca="1" ref="A106" ca="1">"a_T_3_" &amp; INDIRECT("F" &amp; ROW(C106)-4) &amp; "_p"</f>
        <v>a_T_3_1_5_p</v>
      </c>
      <c r="B106">
        <v>2</v>
      </c>
      <c r="C106" t="s">
        <v>6</v>
      </c>
    </row>
    <row r="107" spans="1:6" x14ac:dyDescent="0.25">
      <c r="A107" s="5" t="s">
        <v>8</v>
      </c>
    </row>
    <row r="108" spans="1:6" x14ac:dyDescent="0.25">
      <c r="A108" t="str" cm="1">
        <f t="array" aca="1" ref="A108" ca="1">"a_WS_1_" &amp; INDIRECT("F" &amp; ROW(C108)-6) &amp; "_p"</f>
        <v>a_WS_1_1_5_p</v>
      </c>
      <c r="B108">
        <v>0</v>
      </c>
      <c r="C108" t="s">
        <v>4</v>
      </c>
    </row>
    <row r="109" spans="1:6" x14ac:dyDescent="0.25">
      <c r="A109" t="str" cm="1">
        <f t="array" aca="1" ref="A109" ca="1">"a_WS_2_" &amp; INDIRECT("F" &amp; ROW(C109)-7) &amp; "_p"</f>
        <v>a_WS_2_1_5_p</v>
      </c>
      <c r="B109">
        <v>0</v>
      </c>
      <c r="C109" t="s">
        <v>5</v>
      </c>
    </row>
    <row r="110" spans="1:6" x14ac:dyDescent="0.25">
      <c r="A110" t="str" cm="1">
        <f t="array" aca="1" ref="A110" ca="1">"a_WS_3_" &amp; INDIRECT("F" &amp; ROW(C110)-8) &amp; "_p"</f>
        <v>a_WS_3_1_5_p</v>
      </c>
      <c r="B110">
        <v>2</v>
      </c>
      <c r="C110" t="s">
        <v>6</v>
      </c>
    </row>
    <row r="111" spans="1:6" x14ac:dyDescent="0.25">
      <c r="A111" s="5" t="s">
        <v>7</v>
      </c>
    </row>
    <row r="112" spans="1:6" x14ac:dyDescent="0.25">
      <c r="A112" t="str" cm="1">
        <f t="array" aca="1" ref="A112" ca="1">"a_PREC_1_" &amp; INDIRECT("F" &amp; ROW(C112) - 10) &amp; "_p"</f>
        <v>a_PREC_1_1_5_p</v>
      </c>
      <c r="B112">
        <v>0</v>
      </c>
      <c r="C112" t="s">
        <v>4</v>
      </c>
    </row>
    <row r="113" spans="1:8" x14ac:dyDescent="0.25">
      <c r="A113" t="str" cm="1">
        <f t="array" aca="1" ref="A113" ca="1">"a_PREC_2_" &amp; INDIRECT("F" &amp; ROW(C113) - 11) &amp; "_p"</f>
        <v>a_PREC_2_1_5_p</v>
      </c>
      <c r="B113">
        <v>0</v>
      </c>
      <c r="C113" t="s">
        <v>5</v>
      </c>
    </row>
    <row r="114" spans="1:8" x14ac:dyDescent="0.25">
      <c r="A114" t="str" cm="1">
        <f t="array" aca="1" ref="A114" ca="1">"a_PREC_3_" &amp; INDIRECT("F" &amp; ROW(C114) - 12) &amp; "_p"</f>
        <v>a_PREC_3_1_5_p</v>
      </c>
      <c r="B114">
        <v>2</v>
      </c>
      <c r="C114" t="s">
        <v>6</v>
      </c>
    </row>
    <row r="115" spans="1:8" x14ac:dyDescent="0.25">
      <c r="A115" s="5" t="s">
        <v>9</v>
      </c>
      <c r="F115" s="27"/>
      <c r="G115" s="27"/>
      <c r="H115" s="27"/>
    </row>
    <row r="116" spans="1:8" x14ac:dyDescent="0.25">
      <c r="A116" t="str" cm="1">
        <f t="array" aca="1" ref="A116" ca="1">"a_SL_1_" &amp; INDIRECT("F" &amp; ROW(C116) - 14) &amp; "_p"</f>
        <v>a_SL_1_1_5_p</v>
      </c>
      <c r="B116">
        <v>0</v>
      </c>
      <c r="C116" t="s">
        <v>4</v>
      </c>
    </row>
    <row r="117" spans="1:8" x14ac:dyDescent="0.25">
      <c r="A117" t="str" cm="1">
        <f t="array" aca="1" ref="A117" ca="1">"a_SL_2_" &amp; INDIRECT("F" &amp; ROW(C117) - 15) &amp; "_p"</f>
        <v>a_SL_2_1_5_p</v>
      </c>
      <c r="B117">
        <v>0</v>
      </c>
      <c r="C117" t="s">
        <v>5</v>
      </c>
    </row>
    <row r="118" spans="1:8" x14ac:dyDescent="0.25">
      <c r="A118" t="str" cm="1">
        <f t="array" aca="1" ref="A118" ca="1">"a_SL_3_" &amp; INDIRECT("F" &amp; ROW(C118) - 16) &amp; "_p"</f>
        <v>a_SL_3_1_5_p</v>
      </c>
      <c r="B118">
        <v>2</v>
      </c>
      <c r="C118" t="s">
        <v>6</v>
      </c>
    </row>
    <row r="119" spans="1:8" x14ac:dyDescent="0.25">
      <c r="A119" s="5" t="s">
        <v>95</v>
      </c>
    </row>
    <row r="120" spans="1:8" x14ac:dyDescent="0.25">
      <c r="A120" t="str" cm="1">
        <f t="array" aca="1" ref="A120" ca="1">"a_DRO_1_" &amp; INDIRECT("F" &amp; ROW(C120) - 18) &amp; "_p"</f>
        <v>a_DRO_1_1_5_p</v>
      </c>
      <c r="B120">
        <v>0</v>
      </c>
      <c r="C120" t="s">
        <v>4</v>
      </c>
    </row>
    <row r="121" spans="1:8" x14ac:dyDescent="0.25">
      <c r="A121" t="str" cm="1">
        <f t="array" aca="1" ref="A121" ca="1">"a_DRO_2_" &amp; INDIRECT("F" &amp; ROW(C121) - 19) &amp; "_p"</f>
        <v>a_DRO_2_1_5_p</v>
      </c>
      <c r="B121">
        <v>0</v>
      </c>
      <c r="C121" t="s">
        <v>5</v>
      </c>
    </row>
    <row r="122" spans="1:8" x14ac:dyDescent="0.25">
      <c r="A122" t="str" cm="1">
        <f t="array" aca="1" ref="A122" ca="1">"a_DRO_3_" &amp; INDIRECT("F" &amp; ROW(C122) - 20) &amp; "_p"</f>
        <v>a_DRO_3_1_5_p</v>
      </c>
      <c r="B122">
        <v>2</v>
      </c>
      <c r="C122" t="s">
        <v>6</v>
      </c>
    </row>
    <row r="123" spans="1:8" x14ac:dyDescent="0.25">
      <c r="A123" s="5" t="s">
        <v>96</v>
      </c>
    </row>
    <row r="124" spans="1:8" x14ac:dyDescent="0.25">
      <c r="A124" t="str" cm="1">
        <f t="array" aca="1" ref="A124" ca="1">"a_CYC_1_" &amp; INDIRECT("F" &amp; ROW(C124) - 22) &amp; "_p"</f>
        <v>a_CYC_1_1_5_p</v>
      </c>
      <c r="B124">
        <v>0.1</v>
      </c>
      <c r="C124" t="s">
        <v>4</v>
      </c>
    </row>
    <row r="125" spans="1:8" x14ac:dyDescent="0.25">
      <c r="A125" t="str" cm="1">
        <f t="array" aca="1" ref="A125" ca="1">"a_CYC_2_" &amp; INDIRECT("F" &amp; ROW(C125) - 23) &amp; "_p"</f>
        <v>a_CYC_2_1_5_p</v>
      </c>
      <c r="B125">
        <v>0</v>
      </c>
      <c r="C125" t="s">
        <v>5</v>
      </c>
    </row>
    <row r="126" spans="1:8" x14ac:dyDescent="0.25">
      <c r="A126" t="str" cm="1">
        <f t="array" aca="1" ref="A126" ca="1">"a_CYC_3_" &amp; INDIRECT("F" &amp; ROW(C126) - 24) &amp; "_p"</f>
        <v>a_CYC_3_1_5_p</v>
      </c>
      <c r="B126">
        <v>2</v>
      </c>
      <c r="C126" t="s">
        <v>6</v>
      </c>
    </row>
    <row r="127" spans="1:8" x14ac:dyDescent="0.25">
      <c r="A127" s="26" t="str">
        <f>"sector " &amp; D127 &amp; " and region " &amp;E127</f>
        <v>sector 1 and region 6</v>
      </c>
      <c r="B127" s="26"/>
      <c r="C127" s="26"/>
      <c r="D127" s="24">
        <v>1</v>
      </c>
      <c r="E127" s="24">
        <v>6</v>
      </c>
      <c r="F127" s="24" t="str">
        <f>D127 &amp; "_" &amp; E127</f>
        <v>1_6</v>
      </c>
    </row>
    <row r="128" spans="1:8" x14ac:dyDescent="0.25">
      <c r="A128" s="5" t="s">
        <v>3</v>
      </c>
    </row>
    <row r="129" spans="1:8" x14ac:dyDescent="0.25">
      <c r="A129" t="str" cm="1">
        <f t="array" aca="1" ref="A129" ca="1">"a_T_1_" &amp; INDIRECT("F" &amp; ROW(C129)-2) &amp; "_p"</f>
        <v>a_T_1_1_6_p</v>
      </c>
      <c r="B129">
        <v>0</v>
      </c>
      <c r="C129" t="s">
        <v>4</v>
      </c>
    </row>
    <row r="130" spans="1:8" x14ac:dyDescent="0.25">
      <c r="A130" t="str" cm="1">
        <f t="array" aca="1" ref="A130" ca="1">"a_T_2_" &amp; INDIRECT("F" &amp; ROW(C130)-3) &amp; "_p"</f>
        <v>a_T_2_1_6_p</v>
      </c>
      <c r="B130">
        <v>0</v>
      </c>
      <c r="C130" t="s">
        <v>5</v>
      </c>
    </row>
    <row r="131" spans="1:8" x14ac:dyDescent="0.25">
      <c r="A131" t="str" cm="1">
        <f t="array" aca="1" ref="A131" ca="1">"a_T_3_" &amp; INDIRECT("F" &amp; ROW(C131)-4) &amp; "_p"</f>
        <v>a_T_3_1_6_p</v>
      </c>
      <c r="B131">
        <v>2</v>
      </c>
      <c r="C131" t="s">
        <v>6</v>
      </c>
    </row>
    <row r="132" spans="1:8" x14ac:dyDescent="0.25">
      <c r="A132" s="5" t="s">
        <v>8</v>
      </c>
    </row>
    <row r="133" spans="1:8" x14ac:dyDescent="0.25">
      <c r="A133" t="str" cm="1">
        <f t="array" aca="1" ref="A133" ca="1">"a_WS_1_" &amp; INDIRECT("F" &amp; ROW(C133)-6) &amp; "_p"</f>
        <v>a_WS_1_1_6_p</v>
      </c>
      <c r="B133">
        <v>0</v>
      </c>
      <c r="C133" t="s">
        <v>4</v>
      </c>
    </row>
    <row r="134" spans="1:8" x14ac:dyDescent="0.25">
      <c r="A134" t="str" cm="1">
        <f t="array" aca="1" ref="A134" ca="1">"a_WS_2_" &amp; INDIRECT("F" &amp; ROW(C134)-7) &amp; "_p"</f>
        <v>a_WS_2_1_6_p</v>
      </c>
      <c r="B134">
        <v>0</v>
      </c>
      <c r="C134" t="s">
        <v>5</v>
      </c>
    </row>
    <row r="135" spans="1:8" x14ac:dyDescent="0.25">
      <c r="A135" t="str" cm="1">
        <f t="array" aca="1" ref="A135" ca="1">"a_WS_3_" &amp; INDIRECT("F" &amp; ROW(C135)-8) &amp; "_p"</f>
        <v>a_WS_3_1_6_p</v>
      </c>
      <c r="B135">
        <v>2</v>
      </c>
      <c r="C135" t="s">
        <v>6</v>
      </c>
    </row>
    <row r="136" spans="1:8" x14ac:dyDescent="0.25">
      <c r="A136" s="5" t="s">
        <v>7</v>
      </c>
    </row>
    <row r="137" spans="1:8" x14ac:dyDescent="0.25">
      <c r="A137" t="str" cm="1">
        <f t="array" aca="1" ref="A137" ca="1">"a_PREC_1_" &amp; INDIRECT("F" &amp; ROW(C137) - 10) &amp; "_p"</f>
        <v>a_PREC_1_1_6_p</v>
      </c>
      <c r="B137">
        <v>0</v>
      </c>
      <c r="C137" t="s">
        <v>4</v>
      </c>
    </row>
    <row r="138" spans="1:8" x14ac:dyDescent="0.25">
      <c r="A138" t="str" cm="1">
        <f t="array" aca="1" ref="A138" ca="1">"a_PREC_2_" &amp; INDIRECT("F" &amp; ROW(C138) - 11) &amp; "_p"</f>
        <v>a_PREC_2_1_6_p</v>
      </c>
      <c r="B138">
        <v>0</v>
      </c>
      <c r="C138" t="s">
        <v>5</v>
      </c>
    </row>
    <row r="139" spans="1:8" x14ac:dyDescent="0.25">
      <c r="A139" t="str" cm="1">
        <f t="array" aca="1" ref="A139" ca="1">"a_PREC_3_" &amp; INDIRECT("F" &amp; ROW(C139) - 12) &amp; "_p"</f>
        <v>a_PREC_3_1_6_p</v>
      </c>
      <c r="B139">
        <v>2</v>
      </c>
      <c r="C139" t="s">
        <v>6</v>
      </c>
    </row>
    <row r="140" spans="1:8" x14ac:dyDescent="0.25">
      <c r="A140" s="5" t="s">
        <v>9</v>
      </c>
      <c r="F140" s="27"/>
      <c r="G140" s="27"/>
      <c r="H140" s="27"/>
    </row>
    <row r="141" spans="1:8" x14ac:dyDescent="0.25">
      <c r="A141" t="str" cm="1">
        <f t="array" aca="1" ref="A141" ca="1">"a_SL_1_" &amp; INDIRECT("F" &amp; ROW(C141) - 14) &amp; "_p"</f>
        <v>a_SL_1_1_6_p</v>
      </c>
      <c r="B141">
        <v>0</v>
      </c>
      <c r="C141" t="s">
        <v>4</v>
      </c>
    </row>
    <row r="142" spans="1:8" x14ac:dyDescent="0.25">
      <c r="A142" t="str" cm="1">
        <f t="array" aca="1" ref="A142" ca="1">"a_SL_2_" &amp; INDIRECT("F" &amp; ROW(C142) - 15) &amp; "_p"</f>
        <v>a_SL_2_1_6_p</v>
      </c>
      <c r="B142">
        <v>0</v>
      </c>
      <c r="C142" t="s">
        <v>5</v>
      </c>
    </row>
    <row r="143" spans="1:8" x14ac:dyDescent="0.25">
      <c r="A143" t="str" cm="1">
        <f t="array" aca="1" ref="A143" ca="1">"a_SL_3_" &amp; INDIRECT("F" &amp; ROW(C143) - 16) &amp; "_p"</f>
        <v>a_SL_3_1_6_p</v>
      </c>
      <c r="B143">
        <v>2</v>
      </c>
      <c r="C143" t="s">
        <v>6</v>
      </c>
    </row>
    <row r="144" spans="1:8" x14ac:dyDescent="0.25">
      <c r="A144" s="5" t="s">
        <v>95</v>
      </c>
    </row>
    <row r="145" spans="1:6" x14ac:dyDescent="0.25">
      <c r="A145" t="str" cm="1">
        <f t="array" aca="1" ref="A145" ca="1">"a_DRO_1_" &amp; INDIRECT("F" &amp; ROW(C145) - 18) &amp; "_p"</f>
        <v>a_DRO_1_1_6_p</v>
      </c>
      <c r="B145">
        <v>0</v>
      </c>
      <c r="C145" t="s">
        <v>4</v>
      </c>
    </row>
    <row r="146" spans="1:6" x14ac:dyDescent="0.25">
      <c r="A146" t="str" cm="1">
        <f t="array" aca="1" ref="A146" ca="1">"a_DRO_2_" &amp; INDIRECT("F" &amp; ROW(C146) - 19) &amp; "_p"</f>
        <v>a_DRO_2_1_6_p</v>
      </c>
      <c r="B146">
        <v>0</v>
      </c>
      <c r="C146" t="s">
        <v>5</v>
      </c>
    </row>
    <row r="147" spans="1:6" x14ac:dyDescent="0.25">
      <c r="A147" t="str" cm="1">
        <f t="array" aca="1" ref="A147" ca="1">"a_DRO_3_" &amp; INDIRECT("F" &amp; ROW(C147) - 20) &amp; "_p"</f>
        <v>a_DRO_3_1_6_p</v>
      </c>
      <c r="B147">
        <v>2</v>
      </c>
      <c r="C147" t="s">
        <v>6</v>
      </c>
    </row>
    <row r="148" spans="1:6" x14ac:dyDescent="0.25">
      <c r="A148" s="5" t="s">
        <v>96</v>
      </c>
    </row>
    <row r="149" spans="1:6" x14ac:dyDescent="0.25">
      <c r="A149" t="str" cm="1">
        <f t="array" aca="1" ref="A149" ca="1">"a_CYC_1_" &amp; INDIRECT("F" &amp; ROW(C149) - 22) &amp; "_p"</f>
        <v>a_CYC_1_1_6_p</v>
      </c>
      <c r="B149">
        <v>0.1</v>
      </c>
      <c r="C149" t="s">
        <v>4</v>
      </c>
    </row>
    <row r="150" spans="1:6" x14ac:dyDescent="0.25">
      <c r="A150" t="str" cm="1">
        <f t="array" aca="1" ref="A150" ca="1">"a_CYC_2_" &amp; INDIRECT("F" &amp; ROW(C150) - 23) &amp; "_p"</f>
        <v>a_CYC_2_1_6_p</v>
      </c>
      <c r="B150">
        <v>0</v>
      </c>
      <c r="C150" t="s">
        <v>5</v>
      </c>
    </row>
    <row r="151" spans="1:6" x14ac:dyDescent="0.25">
      <c r="A151" t="str" cm="1">
        <f t="array" aca="1" ref="A151" ca="1">"a_CYC_3_" &amp; INDIRECT("F" &amp; ROW(C151) - 24) &amp; "_p"</f>
        <v>a_CYC_3_1_6_p</v>
      </c>
      <c r="B151">
        <v>2</v>
      </c>
      <c r="C151" t="s">
        <v>6</v>
      </c>
    </row>
    <row r="152" spans="1:6" x14ac:dyDescent="0.25">
      <c r="A152" s="26" t="str">
        <f>"sector " &amp; D152 &amp; " and region " &amp;E152</f>
        <v>sector 2 and region 1</v>
      </c>
      <c r="B152" s="26"/>
      <c r="C152" s="26"/>
      <c r="D152" s="24">
        <v>2</v>
      </c>
      <c r="E152" s="24">
        <v>1</v>
      </c>
      <c r="F152" s="24" t="str">
        <f>D152 &amp; "_" &amp; E152</f>
        <v>2_1</v>
      </c>
    </row>
    <row r="153" spans="1:6" x14ac:dyDescent="0.25">
      <c r="A153" s="5" t="s">
        <v>3</v>
      </c>
    </row>
    <row r="154" spans="1:6" x14ac:dyDescent="0.25">
      <c r="A154" t="str" cm="1">
        <f t="array" aca="1" ref="A154" ca="1">"a_T_1_" &amp; INDIRECT("F" &amp; ROW(C154)-2) &amp; "_p"</f>
        <v>a_T_1_2_1_p</v>
      </c>
      <c r="B154">
        <v>0</v>
      </c>
      <c r="C154" t="s">
        <v>4</v>
      </c>
    </row>
    <row r="155" spans="1:6" x14ac:dyDescent="0.25">
      <c r="A155" t="str" cm="1">
        <f t="array" aca="1" ref="A155" ca="1">"a_T_2_" &amp; INDIRECT("F" &amp; ROW(C155)-3) &amp; "_p"</f>
        <v>a_T_2_2_1_p</v>
      </c>
      <c r="B155">
        <v>0</v>
      </c>
      <c r="C155" t="s">
        <v>5</v>
      </c>
    </row>
    <row r="156" spans="1:6" x14ac:dyDescent="0.25">
      <c r="A156" t="str" cm="1">
        <f t="array" aca="1" ref="A156" ca="1">"a_T_3_" &amp; INDIRECT("F" &amp; ROW(C156)-4) &amp; "_p"</f>
        <v>a_T_3_2_1_p</v>
      </c>
      <c r="B156">
        <v>2</v>
      </c>
      <c r="C156" t="s">
        <v>6</v>
      </c>
    </row>
    <row r="157" spans="1:6" x14ac:dyDescent="0.25">
      <c r="A157" s="5" t="s">
        <v>8</v>
      </c>
    </row>
    <row r="158" spans="1:6" x14ac:dyDescent="0.25">
      <c r="A158" t="str" cm="1">
        <f t="array" aca="1" ref="A158" ca="1">"a_WS_1_" &amp; INDIRECT("F" &amp; ROW(C158)-6) &amp; "_p"</f>
        <v>a_WS_1_2_1_p</v>
      </c>
      <c r="B158">
        <v>0</v>
      </c>
      <c r="C158" t="s">
        <v>4</v>
      </c>
    </row>
    <row r="159" spans="1:6" x14ac:dyDescent="0.25">
      <c r="A159" t="str" cm="1">
        <f t="array" aca="1" ref="A159" ca="1">"a_WS_2_" &amp; INDIRECT("F" &amp; ROW(C159)-7) &amp; "_p"</f>
        <v>a_WS_2_2_1_p</v>
      </c>
      <c r="B159">
        <v>0</v>
      </c>
      <c r="C159" t="s">
        <v>5</v>
      </c>
    </row>
    <row r="160" spans="1:6" x14ac:dyDescent="0.25">
      <c r="A160" t="str" cm="1">
        <f t="array" aca="1" ref="A160" ca="1">"a_WS_3_" &amp; INDIRECT("F" &amp; ROW(C160)-8) &amp; "_p"</f>
        <v>a_WS_3_2_1_p</v>
      </c>
      <c r="B160">
        <v>2</v>
      </c>
      <c r="C160" t="s">
        <v>6</v>
      </c>
    </row>
    <row r="161" spans="1:8" x14ac:dyDescent="0.25">
      <c r="A161" s="5" t="s">
        <v>7</v>
      </c>
      <c r="F161" s="27"/>
      <c r="G161" s="27"/>
      <c r="H161" s="27"/>
    </row>
    <row r="162" spans="1:8" x14ac:dyDescent="0.25">
      <c r="A162" t="str" cm="1">
        <f t="array" aca="1" ref="A162" ca="1">"a_PREC_1_" &amp; INDIRECT("F" &amp; ROW(C162) - 10) &amp; "_p"</f>
        <v>a_PREC_1_2_1_p</v>
      </c>
      <c r="B162">
        <v>0</v>
      </c>
      <c r="C162" t="s">
        <v>4</v>
      </c>
    </row>
    <row r="163" spans="1:8" x14ac:dyDescent="0.25">
      <c r="A163" t="str" cm="1">
        <f t="array" aca="1" ref="A163" ca="1">"a_PREC_2_" &amp; INDIRECT("F" &amp; ROW(C163) - 11) &amp; "_p"</f>
        <v>a_PREC_2_2_1_p</v>
      </c>
      <c r="B163">
        <v>0</v>
      </c>
      <c r="C163" t="s">
        <v>5</v>
      </c>
    </row>
    <row r="164" spans="1:8" x14ac:dyDescent="0.25">
      <c r="A164" t="str" cm="1">
        <f t="array" aca="1" ref="A164" ca="1">"a_PREC_3_" &amp; INDIRECT("F" &amp; ROW(C164) - 12) &amp; "_p"</f>
        <v>a_PREC_3_2_1_p</v>
      </c>
      <c r="B164">
        <v>2</v>
      </c>
      <c r="C164" t="s">
        <v>6</v>
      </c>
    </row>
    <row r="165" spans="1:8" x14ac:dyDescent="0.25">
      <c r="A165" s="5" t="s">
        <v>9</v>
      </c>
      <c r="F165" s="27"/>
      <c r="G165" s="27"/>
      <c r="H165" s="27"/>
    </row>
    <row r="166" spans="1:8" x14ac:dyDescent="0.25">
      <c r="A166" t="str" cm="1">
        <f t="array" aca="1" ref="A166" ca="1">"a_SL_1_" &amp; INDIRECT("F" &amp; ROW(C166) - 14) &amp; "_p"</f>
        <v>a_SL_1_2_1_p</v>
      </c>
      <c r="B166">
        <v>0</v>
      </c>
      <c r="C166" t="s">
        <v>4</v>
      </c>
    </row>
    <row r="167" spans="1:8" x14ac:dyDescent="0.25">
      <c r="A167" t="str" cm="1">
        <f t="array" aca="1" ref="A167" ca="1">"a_SL_2_" &amp; INDIRECT("F" &amp; ROW(C167) - 15) &amp; "_p"</f>
        <v>a_SL_2_2_1_p</v>
      </c>
      <c r="B167">
        <v>0</v>
      </c>
      <c r="C167" t="s">
        <v>5</v>
      </c>
    </row>
    <row r="168" spans="1:8" x14ac:dyDescent="0.25">
      <c r="A168" t="str" cm="1">
        <f t="array" aca="1" ref="A168" ca="1">"a_SL_3_" &amp; INDIRECT("F" &amp; ROW(C168) - 16) &amp; "_p"</f>
        <v>a_SL_3_2_1_p</v>
      </c>
      <c r="B168">
        <v>2</v>
      </c>
      <c r="C168" t="s">
        <v>6</v>
      </c>
    </row>
    <row r="169" spans="1:8" x14ac:dyDescent="0.25">
      <c r="A169" s="5" t="s">
        <v>95</v>
      </c>
    </row>
    <row r="170" spans="1:8" x14ac:dyDescent="0.25">
      <c r="A170" t="str" cm="1">
        <f t="array" aca="1" ref="A170" ca="1">"a_DRO_1_" &amp; INDIRECT("F" &amp; ROW(C170) - 18) &amp; "_p"</f>
        <v>a_DRO_1_2_1_p</v>
      </c>
      <c r="B170">
        <v>0</v>
      </c>
      <c r="C170" t="s">
        <v>4</v>
      </c>
    </row>
    <row r="171" spans="1:8" x14ac:dyDescent="0.25">
      <c r="A171" t="str" cm="1">
        <f t="array" aca="1" ref="A171" ca="1">"a_DRO_2_" &amp; INDIRECT("F" &amp; ROW(C171) - 19) &amp; "_p"</f>
        <v>a_DRO_2_2_1_p</v>
      </c>
      <c r="B171">
        <v>0</v>
      </c>
      <c r="C171" t="s">
        <v>5</v>
      </c>
    </row>
    <row r="172" spans="1:8" x14ac:dyDescent="0.25">
      <c r="A172" t="str" cm="1">
        <f t="array" aca="1" ref="A172" ca="1">"a_DRO_3_" &amp; INDIRECT("F" &amp; ROW(C172) - 20) &amp; "_p"</f>
        <v>a_DRO_3_2_1_p</v>
      </c>
      <c r="B172">
        <v>2</v>
      </c>
      <c r="C172" t="s">
        <v>6</v>
      </c>
    </row>
    <row r="173" spans="1:8" x14ac:dyDescent="0.25">
      <c r="A173" s="5" t="s">
        <v>96</v>
      </c>
    </row>
    <row r="174" spans="1:8" x14ac:dyDescent="0.25">
      <c r="A174" t="str" cm="1">
        <f t="array" aca="1" ref="A174" ca="1">"a_CYC_1_" &amp; INDIRECT("F" &amp; ROW(C174) - 22) &amp; "_p"</f>
        <v>a_CYC_1_2_1_p</v>
      </c>
      <c r="B174">
        <v>0.1</v>
      </c>
      <c r="C174" t="s">
        <v>4</v>
      </c>
    </row>
    <row r="175" spans="1:8" x14ac:dyDescent="0.25">
      <c r="A175" t="str" cm="1">
        <f t="array" aca="1" ref="A175" ca="1">"a_CYC_2_" &amp; INDIRECT("F" &amp; ROW(C175) - 23) &amp; "_p"</f>
        <v>a_CYC_2_2_1_p</v>
      </c>
      <c r="B175">
        <v>0</v>
      </c>
      <c r="C175" t="s">
        <v>5</v>
      </c>
    </row>
    <row r="176" spans="1:8" x14ac:dyDescent="0.25">
      <c r="A176" t="str" cm="1">
        <f t="array" aca="1" ref="A176" ca="1">"a_CYC_3_" &amp; INDIRECT("F" &amp; ROW(C176) - 24) &amp; "_p"</f>
        <v>a_CYC_3_2_1_p</v>
      </c>
      <c r="B176">
        <v>2</v>
      </c>
      <c r="C176" t="s">
        <v>6</v>
      </c>
    </row>
    <row r="177" spans="1:8" x14ac:dyDescent="0.25">
      <c r="A177" s="26" t="str">
        <f>"sector " &amp; D177 &amp; " and region " &amp;E177</f>
        <v>sector 2 and region 2</v>
      </c>
      <c r="B177" s="26"/>
      <c r="C177" s="26"/>
      <c r="D177" s="24">
        <v>2</v>
      </c>
      <c r="E177" s="24">
        <v>2</v>
      </c>
      <c r="F177" s="24" t="str">
        <f>D177 &amp; "_" &amp; E177</f>
        <v>2_2</v>
      </c>
    </row>
    <row r="178" spans="1:8" x14ac:dyDescent="0.25">
      <c r="A178" s="5" t="s">
        <v>3</v>
      </c>
    </row>
    <row r="179" spans="1:8" x14ac:dyDescent="0.25">
      <c r="A179" t="str" cm="1">
        <f t="array" aca="1" ref="A179" ca="1">"a_T_1_" &amp; INDIRECT("F" &amp; ROW(C179)-2) &amp; "_p"</f>
        <v>a_T_1_2_2_p</v>
      </c>
      <c r="B179">
        <v>0</v>
      </c>
      <c r="C179" t="s">
        <v>4</v>
      </c>
    </row>
    <row r="180" spans="1:8" x14ac:dyDescent="0.25">
      <c r="A180" t="str" cm="1">
        <f t="array" aca="1" ref="A180" ca="1">"a_T_2_" &amp; INDIRECT("F" &amp; ROW(C180)-3) &amp; "_p"</f>
        <v>a_T_2_2_2_p</v>
      </c>
      <c r="B180">
        <v>0</v>
      </c>
      <c r="C180" t="s">
        <v>5</v>
      </c>
    </row>
    <row r="181" spans="1:8" x14ac:dyDescent="0.25">
      <c r="A181" t="str" cm="1">
        <f t="array" aca="1" ref="A181" ca="1">"a_T_3_" &amp; INDIRECT("F" &amp; ROW(C181)-4) &amp; "_p"</f>
        <v>a_T_3_2_2_p</v>
      </c>
      <c r="B181">
        <v>2</v>
      </c>
      <c r="C181" t="s">
        <v>6</v>
      </c>
    </row>
    <row r="182" spans="1:8" x14ac:dyDescent="0.25">
      <c r="A182" s="5" t="s">
        <v>8</v>
      </c>
    </row>
    <row r="183" spans="1:8" x14ac:dyDescent="0.25">
      <c r="A183" t="str" cm="1">
        <f t="array" aca="1" ref="A183" ca="1">"a_WS_1_" &amp; INDIRECT("F" &amp; ROW(C183)-6) &amp; "_p"</f>
        <v>a_WS_1_2_2_p</v>
      </c>
      <c r="B183">
        <v>0</v>
      </c>
      <c r="C183" t="s">
        <v>4</v>
      </c>
    </row>
    <row r="184" spans="1:8" x14ac:dyDescent="0.25">
      <c r="A184" t="str" cm="1">
        <f t="array" aca="1" ref="A184" ca="1">"a_WS_2_" &amp; INDIRECT("F" &amp; ROW(C184)-7) &amp; "_p"</f>
        <v>a_WS_2_2_2_p</v>
      </c>
      <c r="B184">
        <v>0</v>
      </c>
      <c r="C184" t="s">
        <v>5</v>
      </c>
    </row>
    <row r="185" spans="1:8" x14ac:dyDescent="0.25">
      <c r="A185" t="str" cm="1">
        <f t="array" aca="1" ref="A185" ca="1">"a_WS_3_" &amp; INDIRECT("F" &amp; ROW(C185)-8) &amp; "_p"</f>
        <v>a_WS_3_2_2_p</v>
      </c>
      <c r="B185">
        <v>2</v>
      </c>
      <c r="C185" t="s">
        <v>6</v>
      </c>
    </row>
    <row r="186" spans="1:8" x14ac:dyDescent="0.25">
      <c r="A186" s="5" t="s">
        <v>7</v>
      </c>
      <c r="F186" s="27"/>
      <c r="G186" s="27"/>
      <c r="H186" s="27"/>
    </row>
    <row r="187" spans="1:8" x14ac:dyDescent="0.25">
      <c r="A187" t="str" cm="1">
        <f t="array" aca="1" ref="A187" ca="1">"a_PREC_1_" &amp; INDIRECT("F" &amp; ROW(C187) - 10) &amp; "_p"</f>
        <v>a_PREC_1_2_2_p</v>
      </c>
      <c r="B187">
        <v>0</v>
      </c>
      <c r="C187" t="s">
        <v>4</v>
      </c>
    </row>
    <row r="188" spans="1:8" x14ac:dyDescent="0.25">
      <c r="A188" t="str" cm="1">
        <f t="array" aca="1" ref="A188" ca="1">"a_PREC_2_" &amp; INDIRECT("F" &amp; ROW(C188) - 11) &amp; "_p"</f>
        <v>a_PREC_2_2_2_p</v>
      </c>
      <c r="B188">
        <v>0</v>
      </c>
      <c r="C188" t="s">
        <v>5</v>
      </c>
    </row>
    <row r="189" spans="1:8" x14ac:dyDescent="0.25">
      <c r="A189" t="str" cm="1">
        <f t="array" aca="1" ref="A189" ca="1">"a_PREC_3_" &amp; INDIRECT("F" &amp; ROW(C189) - 12) &amp; "_p"</f>
        <v>a_PREC_3_2_2_p</v>
      </c>
      <c r="B189">
        <v>2</v>
      </c>
      <c r="C189" t="s">
        <v>6</v>
      </c>
    </row>
    <row r="190" spans="1:8" x14ac:dyDescent="0.25">
      <c r="A190" s="5" t="s">
        <v>9</v>
      </c>
      <c r="F190" s="27"/>
      <c r="G190" s="27"/>
      <c r="H190" s="27"/>
    </row>
    <row r="191" spans="1:8" x14ac:dyDescent="0.25">
      <c r="A191" t="str" cm="1">
        <f t="array" aca="1" ref="A191" ca="1">"a_SL_1_" &amp; INDIRECT("F" &amp; ROW(C191) - 14) &amp; "_p"</f>
        <v>a_SL_1_2_2_p</v>
      </c>
      <c r="B191">
        <v>0</v>
      </c>
      <c r="C191" t="s">
        <v>4</v>
      </c>
    </row>
    <row r="192" spans="1:8" x14ac:dyDescent="0.25">
      <c r="A192" t="str" cm="1">
        <f t="array" aca="1" ref="A192" ca="1">"a_SL_2_" &amp; INDIRECT("F" &amp; ROW(C192) - 15) &amp; "_p"</f>
        <v>a_SL_2_2_2_p</v>
      </c>
      <c r="B192">
        <v>0</v>
      </c>
      <c r="C192" t="s">
        <v>5</v>
      </c>
    </row>
    <row r="193" spans="1:6" x14ac:dyDescent="0.25">
      <c r="A193" t="str" cm="1">
        <f t="array" aca="1" ref="A193" ca="1">"a_SL_3_" &amp; INDIRECT("F" &amp; ROW(C193) - 16) &amp; "_p"</f>
        <v>a_SL_3_2_2_p</v>
      </c>
      <c r="B193">
        <v>2</v>
      </c>
      <c r="C193" t="s">
        <v>6</v>
      </c>
    </row>
    <row r="194" spans="1:6" x14ac:dyDescent="0.25">
      <c r="A194" s="5" t="s">
        <v>95</v>
      </c>
    </row>
    <row r="195" spans="1:6" x14ac:dyDescent="0.25">
      <c r="A195" t="str" cm="1">
        <f t="array" aca="1" ref="A195" ca="1">"a_DRO_1_" &amp; INDIRECT("F" &amp; ROW(C195) - 18) &amp; "_p"</f>
        <v>a_DRO_1_2_2_p</v>
      </c>
      <c r="B195">
        <v>0</v>
      </c>
      <c r="C195" t="s">
        <v>4</v>
      </c>
    </row>
    <row r="196" spans="1:6" x14ac:dyDescent="0.25">
      <c r="A196" t="str" cm="1">
        <f t="array" aca="1" ref="A196" ca="1">"a_DRO_2_" &amp; INDIRECT("F" &amp; ROW(C196) - 19) &amp; "_p"</f>
        <v>a_DRO_2_2_2_p</v>
      </c>
      <c r="B196">
        <v>0</v>
      </c>
      <c r="C196" t="s">
        <v>5</v>
      </c>
    </row>
    <row r="197" spans="1:6" x14ac:dyDescent="0.25">
      <c r="A197" t="str" cm="1">
        <f t="array" aca="1" ref="A197" ca="1">"a_DRO_3_" &amp; INDIRECT("F" &amp; ROW(C197) - 20) &amp; "_p"</f>
        <v>a_DRO_3_2_2_p</v>
      </c>
      <c r="B197">
        <v>2</v>
      </c>
      <c r="C197" t="s">
        <v>6</v>
      </c>
    </row>
    <row r="198" spans="1:6" x14ac:dyDescent="0.25">
      <c r="A198" s="5" t="s">
        <v>96</v>
      </c>
    </row>
    <row r="199" spans="1:6" x14ac:dyDescent="0.25">
      <c r="A199" t="str" cm="1">
        <f t="array" aca="1" ref="A199" ca="1">"a_CYC_1_" &amp; INDIRECT("F" &amp; ROW(C199) - 22) &amp; "_p"</f>
        <v>a_CYC_1_2_2_p</v>
      </c>
      <c r="B199">
        <v>0.1</v>
      </c>
      <c r="C199" t="s">
        <v>4</v>
      </c>
    </row>
    <row r="200" spans="1:6" x14ac:dyDescent="0.25">
      <c r="A200" t="str" cm="1">
        <f t="array" aca="1" ref="A200" ca="1">"a_CYC_2_" &amp; INDIRECT("F" &amp; ROW(C200) - 23) &amp; "_p"</f>
        <v>a_CYC_2_2_2_p</v>
      </c>
      <c r="B200">
        <v>0</v>
      </c>
      <c r="C200" t="s">
        <v>5</v>
      </c>
    </row>
    <row r="201" spans="1:6" x14ac:dyDescent="0.25">
      <c r="A201" t="str" cm="1">
        <f t="array" aca="1" ref="A201" ca="1">"a_CYC_3_" &amp; INDIRECT("F" &amp; ROW(C201) - 24) &amp; "_p"</f>
        <v>a_CYC_3_2_2_p</v>
      </c>
      <c r="B201">
        <v>2</v>
      </c>
      <c r="C201" t="s">
        <v>6</v>
      </c>
    </row>
    <row r="202" spans="1:6" x14ac:dyDescent="0.25">
      <c r="A202" s="26" t="str">
        <f>"sector " &amp; D202 &amp; " and region " &amp;E202</f>
        <v>sector 2 and region 3</v>
      </c>
      <c r="B202" s="26"/>
      <c r="C202" s="26"/>
      <c r="D202" s="24">
        <v>2</v>
      </c>
      <c r="E202" s="24">
        <v>3</v>
      </c>
      <c r="F202" s="24" t="str">
        <f>D202 &amp; "_" &amp; E202</f>
        <v>2_3</v>
      </c>
    </row>
    <row r="203" spans="1:6" x14ac:dyDescent="0.25">
      <c r="A203" s="5" t="s">
        <v>3</v>
      </c>
    </row>
    <row r="204" spans="1:6" x14ac:dyDescent="0.25">
      <c r="A204" t="str" cm="1">
        <f t="array" aca="1" ref="A204" ca="1">"a_T_1_" &amp; INDIRECT("F" &amp; ROW(C204)-2) &amp; "_p"</f>
        <v>a_T_1_2_3_p</v>
      </c>
      <c r="B204">
        <v>0</v>
      </c>
      <c r="C204" t="s">
        <v>4</v>
      </c>
    </row>
    <row r="205" spans="1:6" x14ac:dyDescent="0.25">
      <c r="A205" t="str" cm="1">
        <f t="array" aca="1" ref="A205" ca="1">"a_T_2_" &amp; INDIRECT("F" &amp; ROW(C205)-3) &amp; "_p"</f>
        <v>a_T_2_2_3_p</v>
      </c>
      <c r="B205">
        <v>0</v>
      </c>
      <c r="C205" t="s">
        <v>5</v>
      </c>
    </row>
    <row r="206" spans="1:6" x14ac:dyDescent="0.25">
      <c r="A206" t="str" cm="1">
        <f t="array" aca="1" ref="A206" ca="1">"a_T_3_" &amp; INDIRECT("F" &amp; ROW(C206)-4) &amp; "_p"</f>
        <v>a_T_3_2_3_p</v>
      </c>
      <c r="B206">
        <v>2</v>
      </c>
      <c r="C206" t="s">
        <v>6</v>
      </c>
    </row>
    <row r="207" spans="1:6" x14ac:dyDescent="0.25">
      <c r="A207" s="5" t="s">
        <v>8</v>
      </c>
    </row>
    <row r="208" spans="1:6" x14ac:dyDescent="0.25">
      <c r="A208" t="str" cm="1">
        <f t="array" aca="1" ref="A208" ca="1">"a_WS_1_" &amp; INDIRECT("F" &amp; ROW(C208)-6) &amp; "_p"</f>
        <v>a_WS_1_2_3_p</v>
      </c>
      <c r="B208">
        <v>0</v>
      </c>
      <c r="C208" t="s">
        <v>4</v>
      </c>
    </row>
    <row r="209" spans="1:8" x14ac:dyDescent="0.25">
      <c r="A209" t="str" cm="1">
        <f t="array" aca="1" ref="A209" ca="1">"a_WS_2_" &amp; INDIRECT("F" &amp; ROW(C209)-7) &amp; "_p"</f>
        <v>a_WS_2_2_3_p</v>
      </c>
      <c r="B209">
        <v>0</v>
      </c>
      <c r="C209" t="s">
        <v>5</v>
      </c>
    </row>
    <row r="210" spans="1:8" x14ac:dyDescent="0.25">
      <c r="A210" t="str" cm="1">
        <f t="array" aca="1" ref="A210" ca="1">"a_WS_3_" &amp; INDIRECT("F" &amp; ROW(C210)-8) &amp; "_p"</f>
        <v>a_WS_3_2_3_p</v>
      </c>
      <c r="B210">
        <v>2</v>
      </c>
      <c r="C210" t="s">
        <v>6</v>
      </c>
    </row>
    <row r="211" spans="1:8" x14ac:dyDescent="0.25">
      <c r="A211" s="5" t="s">
        <v>7</v>
      </c>
      <c r="F211" s="27"/>
      <c r="G211" s="27"/>
      <c r="H211" s="27"/>
    </row>
    <row r="212" spans="1:8" x14ac:dyDescent="0.25">
      <c r="A212" t="str" cm="1">
        <f t="array" aca="1" ref="A212" ca="1">"a_PREC_1_" &amp; INDIRECT("F" &amp; ROW(C212) - 10) &amp; "_p"</f>
        <v>a_PREC_1_2_3_p</v>
      </c>
      <c r="B212">
        <v>0</v>
      </c>
      <c r="C212" t="s">
        <v>4</v>
      </c>
    </row>
    <row r="213" spans="1:8" x14ac:dyDescent="0.25">
      <c r="A213" t="str" cm="1">
        <f t="array" aca="1" ref="A213" ca="1">"a_PREC_2_" &amp; INDIRECT("F" &amp; ROW(C213) - 11) &amp; "_p"</f>
        <v>a_PREC_2_2_3_p</v>
      </c>
      <c r="B213">
        <v>0</v>
      </c>
      <c r="C213" t="s">
        <v>5</v>
      </c>
    </row>
    <row r="214" spans="1:8" x14ac:dyDescent="0.25">
      <c r="A214" t="str" cm="1">
        <f t="array" aca="1" ref="A214" ca="1">"a_PREC_3_" &amp; INDIRECT("F" &amp; ROW(C214) - 12) &amp; "_p"</f>
        <v>a_PREC_3_2_3_p</v>
      </c>
      <c r="B214">
        <v>2</v>
      </c>
      <c r="C214" t="s">
        <v>6</v>
      </c>
    </row>
    <row r="215" spans="1:8" x14ac:dyDescent="0.25">
      <c r="A215" s="5" t="s">
        <v>9</v>
      </c>
      <c r="F215" s="27"/>
      <c r="G215" s="27"/>
      <c r="H215" s="27"/>
    </row>
    <row r="216" spans="1:8" x14ac:dyDescent="0.25">
      <c r="A216" t="str" cm="1">
        <f t="array" aca="1" ref="A216" ca="1">"a_SL_1_" &amp; INDIRECT("F" &amp; ROW(C216) - 14) &amp; "_p"</f>
        <v>a_SL_1_2_3_p</v>
      </c>
      <c r="B216">
        <v>0</v>
      </c>
      <c r="C216" t="s">
        <v>4</v>
      </c>
    </row>
    <row r="217" spans="1:8" x14ac:dyDescent="0.25">
      <c r="A217" t="str" cm="1">
        <f t="array" aca="1" ref="A217" ca="1">"a_SL_2_" &amp; INDIRECT("F" &amp; ROW(C217) - 15) &amp; "_p"</f>
        <v>a_SL_2_2_3_p</v>
      </c>
      <c r="B217">
        <v>0</v>
      </c>
      <c r="C217" t="s">
        <v>5</v>
      </c>
    </row>
    <row r="218" spans="1:8" x14ac:dyDescent="0.25">
      <c r="A218" t="str" cm="1">
        <f t="array" aca="1" ref="A218" ca="1">"a_SL_3_" &amp; INDIRECT("F" &amp; ROW(C218) - 16) &amp; "_p"</f>
        <v>a_SL_3_2_3_p</v>
      </c>
      <c r="B218">
        <v>2</v>
      </c>
      <c r="C218" t="s">
        <v>6</v>
      </c>
    </row>
    <row r="219" spans="1:8" x14ac:dyDescent="0.25">
      <c r="A219" s="5" t="s">
        <v>95</v>
      </c>
    </row>
    <row r="220" spans="1:8" x14ac:dyDescent="0.25">
      <c r="A220" t="str" cm="1">
        <f t="array" aca="1" ref="A220" ca="1">"a_DRO_1_" &amp; INDIRECT("F" &amp; ROW(C220) - 18) &amp; "_p"</f>
        <v>a_DRO_1_2_3_p</v>
      </c>
      <c r="B220">
        <v>0</v>
      </c>
      <c r="C220" t="s">
        <v>4</v>
      </c>
    </row>
    <row r="221" spans="1:8" x14ac:dyDescent="0.25">
      <c r="A221" t="str" cm="1">
        <f t="array" aca="1" ref="A221" ca="1">"a_DRO_2_" &amp; INDIRECT("F" &amp; ROW(C221) - 19) &amp; "_p"</f>
        <v>a_DRO_2_2_3_p</v>
      </c>
      <c r="B221">
        <v>0</v>
      </c>
      <c r="C221" t="s">
        <v>5</v>
      </c>
    </row>
    <row r="222" spans="1:8" x14ac:dyDescent="0.25">
      <c r="A222" t="str" cm="1">
        <f t="array" aca="1" ref="A222" ca="1">"a_DRO_3_" &amp; INDIRECT("F" &amp; ROW(C222) - 20) &amp; "_p"</f>
        <v>a_DRO_3_2_3_p</v>
      </c>
      <c r="B222">
        <v>2</v>
      </c>
      <c r="C222" t="s">
        <v>6</v>
      </c>
    </row>
    <row r="223" spans="1:8" x14ac:dyDescent="0.25">
      <c r="A223" s="5" t="s">
        <v>96</v>
      </c>
    </row>
    <row r="224" spans="1:8" x14ac:dyDescent="0.25">
      <c r="A224" t="str" cm="1">
        <f t="array" aca="1" ref="A224" ca="1">"a_CYC_1_" &amp; INDIRECT("F" &amp; ROW(C224) - 22) &amp; "_p"</f>
        <v>a_CYC_1_2_3_p</v>
      </c>
      <c r="B224">
        <v>0.1</v>
      </c>
      <c r="C224" t="s">
        <v>4</v>
      </c>
    </row>
    <row r="225" spans="1:8" x14ac:dyDescent="0.25">
      <c r="A225" t="str" cm="1">
        <f t="array" aca="1" ref="A225" ca="1">"a_CYC_2_" &amp; INDIRECT("F" &amp; ROW(C225) - 23) &amp; "_p"</f>
        <v>a_CYC_2_2_3_p</v>
      </c>
      <c r="B225">
        <v>0</v>
      </c>
      <c r="C225" t="s">
        <v>5</v>
      </c>
    </row>
    <row r="226" spans="1:8" x14ac:dyDescent="0.25">
      <c r="A226" t="str" cm="1">
        <f t="array" aca="1" ref="A226" ca="1">"a_CYC_3_" &amp; INDIRECT("F" &amp; ROW(C226) - 24) &amp; "_p"</f>
        <v>a_CYC_3_2_3_p</v>
      </c>
      <c r="B226">
        <v>2</v>
      </c>
      <c r="C226" t="s">
        <v>6</v>
      </c>
    </row>
    <row r="227" spans="1:8" x14ac:dyDescent="0.25">
      <c r="A227" s="26" t="str">
        <f>"sector " &amp; D227 &amp; " and region " &amp;E227</f>
        <v>sector 2 and region 4</v>
      </c>
      <c r="B227" s="26"/>
      <c r="C227" s="26"/>
      <c r="D227" s="24">
        <v>2</v>
      </c>
      <c r="E227" s="24">
        <v>4</v>
      </c>
      <c r="F227" s="24" t="str">
        <f>D227 &amp; "_" &amp; E227</f>
        <v>2_4</v>
      </c>
    </row>
    <row r="228" spans="1:8" x14ac:dyDescent="0.25">
      <c r="A228" s="5" t="s">
        <v>3</v>
      </c>
    </row>
    <row r="229" spans="1:8" x14ac:dyDescent="0.25">
      <c r="A229" t="str" cm="1">
        <f t="array" aca="1" ref="A229" ca="1">"a_T_1_" &amp; INDIRECT("F" &amp; ROW(C229)-2) &amp; "_p"</f>
        <v>a_T_1_2_4_p</v>
      </c>
      <c r="B229">
        <v>0</v>
      </c>
      <c r="C229" t="s">
        <v>4</v>
      </c>
    </row>
    <row r="230" spans="1:8" x14ac:dyDescent="0.25">
      <c r="A230" t="str" cm="1">
        <f t="array" aca="1" ref="A230" ca="1">"a_T_2_" &amp; INDIRECT("F" &amp; ROW(C230)-3) &amp; "_p"</f>
        <v>a_T_2_2_4_p</v>
      </c>
      <c r="B230">
        <v>0</v>
      </c>
      <c r="C230" t="s">
        <v>5</v>
      </c>
    </row>
    <row r="231" spans="1:8" x14ac:dyDescent="0.25">
      <c r="A231" t="str" cm="1">
        <f t="array" aca="1" ref="A231" ca="1">"a_T_3_" &amp; INDIRECT("F" &amp; ROW(C231)-4) &amp; "_p"</f>
        <v>a_T_3_2_4_p</v>
      </c>
      <c r="B231">
        <v>2</v>
      </c>
      <c r="C231" t="s">
        <v>6</v>
      </c>
    </row>
    <row r="232" spans="1:8" x14ac:dyDescent="0.25">
      <c r="A232" s="5" t="s">
        <v>8</v>
      </c>
    </row>
    <row r="233" spans="1:8" x14ac:dyDescent="0.25">
      <c r="A233" t="str" cm="1">
        <f t="array" aca="1" ref="A233" ca="1">"a_WS_1_" &amp; INDIRECT("F" &amp; ROW(C233)-6) &amp; "_p"</f>
        <v>a_WS_1_2_4_p</v>
      </c>
      <c r="B233">
        <v>0</v>
      </c>
      <c r="C233" t="s">
        <v>4</v>
      </c>
    </row>
    <row r="234" spans="1:8" x14ac:dyDescent="0.25">
      <c r="A234" t="str" cm="1">
        <f t="array" aca="1" ref="A234" ca="1">"a_WS_2_" &amp; INDIRECT("F" &amp; ROW(C234)-7) &amp; "_p"</f>
        <v>a_WS_2_2_4_p</v>
      </c>
      <c r="B234">
        <v>0</v>
      </c>
      <c r="C234" t="s">
        <v>5</v>
      </c>
    </row>
    <row r="235" spans="1:8" x14ac:dyDescent="0.25">
      <c r="A235" t="str" cm="1">
        <f t="array" aca="1" ref="A235" ca="1">"a_WS_3_" &amp; INDIRECT("F" &amp; ROW(C235)-8) &amp; "_p"</f>
        <v>a_WS_3_2_4_p</v>
      </c>
      <c r="B235">
        <v>2</v>
      </c>
      <c r="C235" t="s">
        <v>6</v>
      </c>
    </row>
    <row r="236" spans="1:8" x14ac:dyDescent="0.25">
      <c r="A236" s="5" t="s">
        <v>7</v>
      </c>
      <c r="F236" s="27"/>
      <c r="G236" s="27"/>
      <c r="H236" s="27"/>
    </row>
    <row r="237" spans="1:8" x14ac:dyDescent="0.25">
      <c r="A237" t="str" cm="1">
        <f t="array" aca="1" ref="A237" ca="1">"a_PREC_1_" &amp; INDIRECT("F" &amp; ROW(C237) - 10) &amp; "_p"</f>
        <v>a_PREC_1_2_4_p</v>
      </c>
      <c r="B237">
        <v>0</v>
      </c>
      <c r="C237" t="s">
        <v>4</v>
      </c>
    </row>
    <row r="238" spans="1:8" x14ac:dyDescent="0.25">
      <c r="A238" t="str" cm="1">
        <f t="array" aca="1" ref="A238" ca="1">"a_PREC_2_" &amp; INDIRECT("F" &amp; ROW(C238) - 11) &amp; "_p"</f>
        <v>a_PREC_2_2_4_p</v>
      </c>
      <c r="B238">
        <v>0</v>
      </c>
      <c r="C238" t="s">
        <v>5</v>
      </c>
    </row>
    <row r="239" spans="1:8" x14ac:dyDescent="0.25">
      <c r="A239" t="str" cm="1">
        <f t="array" aca="1" ref="A239" ca="1">"a_PREC_3_" &amp; INDIRECT("F" &amp; ROW(C239) - 12) &amp; "_p"</f>
        <v>a_PREC_3_2_4_p</v>
      </c>
      <c r="B239">
        <v>2</v>
      </c>
      <c r="C239" t="s">
        <v>6</v>
      </c>
    </row>
    <row r="240" spans="1:8" x14ac:dyDescent="0.25">
      <c r="A240" s="5" t="s">
        <v>9</v>
      </c>
      <c r="F240" s="27"/>
      <c r="G240" s="27"/>
      <c r="H240" s="27"/>
    </row>
    <row r="241" spans="1:6" x14ac:dyDescent="0.25">
      <c r="A241" t="str" cm="1">
        <f t="array" aca="1" ref="A241" ca="1">"a_SL_1_" &amp; INDIRECT("F" &amp; ROW(C241) - 14) &amp; "_p"</f>
        <v>a_SL_1_2_4_p</v>
      </c>
      <c r="B241">
        <v>0</v>
      </c>
      <c r="C241" t="s">
        <v>4</v>
      </c>
    </row>
    <row r="242" spans="1:6" x14ac:dyDescent="0.25">
      <c r="A242" t="str" cm="1">
        <f t="array" aca="1" ref="A242" ca="1">"a_SL_2_" &amp; INDIRECT("F" &amp; ROW(C242) - 15) &amp; "_p"</f>
        <v>a_SL_2_2_4_p</v>
      </c>
      <c r="B242">
        <v>0</v>
      </c>
      <c r="C242" t="s">
        <v>5</v>
      </c>
    </row>
    <row r="243" spans="1:6" x14ac:dyDescent="0.25">
      <c r="A243" t="str" cm="1">
        <f t="array" aca="1" ref="A243" ca="1">"a_SL_3_" &amp; INDIRECT("F" &amp; ROW(C243) - 16) &amp; "_p"</f>
        <v>a_SL_3_2_4_p</v>
      </c>
      <c r="B243">
        <v>2</v>
      </c>
      <c r="C243" t="s">
        <v>6</v>
      </c>
    </row>
    <row r="244" spans="1:6" x14ac:dyDescent="0.25">
      <c r="A244" s="5" t="s">
        <v>95</v>
      </c>
    </row>
    <row r="245" spans="1:6" x14ac:dyDescent="0.25">
      <c r="A245" t="str" cm="1">
        <f t="array" aca="1" ref="A245" ca="1">"a_DRO_1_" &amp; INDIRECT("F" &amp; ROW(C245) - 18) &amp; "_p"</f>
        <v>a_DRO_1_2_4_p</v>
      </c>
      <c r="B245">
        <v>0</v>
      </c>
      <c r="C245" t="s">
        <v>4</v>
      </c>
    </row>
    <row r="246" spans="1:6" x14ac:dyDescent="0.25">
      <c r="A246" t="str" cm="1">
        <f t="array" aca="1" ref="A246" ca="1">"a_DRO_2_" &amp; INDIRECT("F" &amp; ROW(C246) - 19) &amp; "_p"</f>
        <v>a_DRO_2_2_4_p</v>
      </c>
      <c r="B246">
        <v>0</v>
      </c>
      <c r="C246" t="s">
        <v>5</v>
      </c>
    </row>
    <row r="247" spans="1:6" x14ac:dyDescent="0.25">
      <c r="A247" t="str" cm="1">
        <f t="array" aca="1" ref="A247" ca="1">"a_DRO_3_" &amp; INDIRECT("F" &amp; ROW(C247) - 20) &amp; "_p"</f>
        <v>a_DRO_3_2_4_p</v>
      </c>
      <c r="B247">
        <v>2</v>
      </c>
      <c r="C247" t="s">
        <v>6</v>
      </c>
    </row>
    <row r="248" spans="1:6" x14ac:dyDescent="0.25">
      <c r="A248" s="5" t="s">
        <v>96</v>
      </c>
    </row>
    <row r="249" spans="1:6" x14ac:dyDescent="0.25">
      <c r="A249" t="str" cm="1">
        <f t="array" aca="1" ref="A249" ca="1">"a_CYC_1_" &amp; INDIRECT("F" &amp; ROW(C249) - 22) &amp; "_p"</f>
        <v>a_CYC_1_2_4_p</v>
      </c>
      <c r="B249">
        <v>0.1</v>
      </c>
      <c r="C249" t="s">
        <v>4</v>
      </c>
    </row>
    <row r="250" spans="1:6" x14ac:dyDescent="0.25">
      <c r="A250" t="str" cm="1">
        <f t="array" aca="1" ref="A250" ca="1">"a_CYC_2_" &amp; INDIRECT("F" &amp; ROW(C250) - 23) &amp; "_p"</f>
        <v>a_CYC_2_2_4_p</v>
      </c>
      <c r="B250">
        <v>0</v>
      </c>
      <c r="C250" t="s">
        <v>5</v>
      </c>
    </row>
    <row r="251" spans="1:6" x14ac:dyDescent="0.25">
      <c r="A251" t="str" cm="1">
        <f t="array" aca="1" ref="A251" ca="1">"a_CYC_3_" &amp; INDIRECT("F" &amp; ROW(C251) - 24) &amp; "_p"</f>
        <v>a_CYC_3_2_4_p</v>
      </c>
      <c r="B251">
        <v>2</v>
      </c>
      <c r="C251" t="s">
        <v>6</v>
      </c>
    </row>
    <row r="252" spans="1:6" x14ac:dyDescent="0.25">
      <c r="A252" s="26" t="str">
        <f>"sector " &amp; D252 &amp; " and region " &amp;E252</f>
        <v>sector 2 and region 5</v>
      </c>
      <c r="B252" s="26"/>
      <c r="C252" s="26"/>
      <c r="D252" s="24">
        <v>2</v>
      </c>
      <c r="E252" s="24">
        <v>5</v>
      </c>
      <c r="F252" s="24" t="str">
        <f>D252 &amp; "_" &amp; E252</f>
        <v>2_5</v>
      </c>
    </row>
    <row r="253" spans="1:6" x14ac:dyDescent="0.25">
      <c r="A253" s="5" t="s">
        <v>3</v>
      </c>
    </row>
    <row r="254" spans="1:6" x14ac:dyDescent="0.25">
      <c r="A254" t="str" cm="1">
        <f t="array" aca="1" ref="A254" ca="1">"a_T_1_" &amp; INDIRECT("F" &amp; ROW(C254)-2) &amp; "_p"</f>
        <v>a_T_1_2_5_p</v>
      </c>
      <c r="B254">
        <v>0</v>
      </c>
      <c r="C254" t="s">
        <v>4</v>
      </c>
    </row>
    <row r="255" spans="1:6" x14ac:dyDescent="0.25">
      <c r="A255" t="str" cm="1">
        <f t="array" aca="1" ref="A255" ca="1">"a_T_2_" &amp; INDIRECT("F" &amp; ROW(C255)-3) &amp; "_p"</f>
        <v>a_T_2_2_5_p</v>
      </c>
      <c r="B255">
        <v>0</v>
      </c>
      <c r="C255" t="s">
        <v>5</v>
      </c>
    </row>
    <row r="256" spans="1:6" x14ac:dyDescent="0.25">
      <c r="A256" t="str" cm="1">
        <f t="array" aca="1" ref="A256" ca="1">"a_T_3_" &amp; INDIRECT("F" &amp; ROW(C256)-4) &amp; "_p"</f>
        <v>a_T_3_2_5_p</v>
      </c>
      <c r="B256">
        <v>2</v>
      </c>
      <c r="C256" t="s">
        <v>6</v>
      </c>
    </row>
    <row r="257" spans="1:8" x14ac:dyDescent="0.25">
      <c r="A257" s="5" t="s">
        <v>8</v>
      </c>
    </row>
    <row r="258" spans="1:8" x14ac:dyDescent="0.25">
      <c r="A258" t="str" cm="1">
        <f t="array" aca="1" ref="A258" ca="1">"a_WS_1_" &amp; INDIRECT("F" &amp; ROW(C258)-6) &amp; "_p"</f>
        <v>a_WS_1_2_5_p</v>
      </c>
      <c r="B258">
        <v>0</v>
      </c>
      <c r="C258" t="s">
        <v>4</v>
      </c>
    </row>
    <row r="259" spans="1:8" x14ac:dyDescent="0.25">
      <c r="A259" t="str" cm="1">
        <f t="array" aca="1" ref="A259" ca="1">"a_WS_2_" &amp; INDIRECT("F" &amp; ROW(C259)-7) &amp; "_p"</f>
        <v>a_WS_2_2_5_p</v>
      </c>
      <c r="B259">
        <v>0</v>
      </c>
      <c r="C259" t="s">
        <v>5</v>
      </c>
    </row>
    <row r="260" spans="1:8" x14ac:dyDescent="0.25">
      <c r="A260" t="str" cm="1">
        <f t="array" aca="1" ref="A260" ca="1">"a_WS_3_" &amp; INDIRECT("F" &amp; ROW(C260)-8) &amp; "_p"</f>
        <v>a_WS_3_2_5_p</v>
      </c>
      <c r="B260">
        <v>2</v>
      </c>
      <c r="C260" t="s">
        <v>6</v>
      </c>
    </row>
    <row r="261" spans="1:8" x14ac:dyDescent="0.25">
      <c r="A261" s="5" t="s">
        <v>7</v>
      </c>
      <c r="F261" s="27"/>
      <c r="G261" s="27"/>
      <c r="H261" s="27"/>
    </row>
    <row r="262" spans="1:8" x14ac:dyDescent="0.25">
      <c r="A262" t="str" cm="1">
        <f t="array" aca="1" ref="A262" ca="1">"a_PREC_1_" &amp; INDIRECT("F" &amp; ROW(C262) - 10) &amp; "_p"</f>
        <v>a_PREC_1_2_5_p</v>
      </c>
      <c r="B262">
        <v>0</v>
      </c>
      <c r="C262" t="s">
        <v>4</v>
      </c>
    </row>
    <row r="263" spans="1:8" x14ac:dyDescent="0.25">
      <c r="A263" t="str" cm="1">
        <f t="array" aca="1" ref="A263" ca="1">"a_PREC_2_" &amp; INDIRECT("F" &amp; ROW(C263) - 11) &amp; "_p"</f>
        <v>a_PREC_2_2_5_p</v>
      </c>
      <c r="B263">
        <v>0</v>
      </c>
      <c r="C263" t="s">
        <v>5</v>
      </c>
    </row>
    <row r="264" spans="1:8" x14ac:dyDescent="0.25">
      <c r="A264" t="str" cm="1">
        <f t="array" aca="1" ref="A264" ca="1">"a_PREC_3_" &amp; INDIRECT("F" &amp; ROW(C264) - 12) &amp; "_p"</f>
        <v>a_PREC_3_2_5_p</v>
      </c>
      <c r="B264">
        <v>2</v>
      </c>
      <c r="C264" t="s">
        <v>6</v>
      </c>
    </row>
    <row r="265" spans="1:8" x14ac:dyDescent="0.25">
      <c r="A265" s="5" t="s">
        <v>9</v>
      </c>
      <c r="F265" s="27"/>
      <c r="G265" s="27"/>
      <c r="H265" s="27"/>
    </row>
    <row r="266" spans="1:8" x14ac:dyDescent="0.25">
      <c r="A266" t="str" cm="1">
        <f t="array" aca="1" ref="A266" ca="1">"a_SL_1_" &amp; INDIRECT("F" &amp; ROW(C266) - 14) &amp; "_p"</f>
        <v>a_SL_1_2_5_p</v>
      </c>
      <c r="B266">
        <v>0</v>
      </c>
      <c r="C266" t="s">
        <v>4</v>
      </c>
    </row>
    <row r="267" spans="1:8" x14ac:dyDescent="0.25">
      <c r="A267" t="str" cm="1">
        <f t="array" aca="1" ref="A267" ca="1">"a_SL_2_" &amp; INDIRECT("F" &amp; ROW(C267) - 15) &amp; "_p"</f>
        <v>a_SL_2_2_5_p</v>
      </c>
      <c r="B267">
        <v>0</v>
      </c>
      <c r="C267" t="s">
        <v>5</v>
      </c>
    </row>
    <row r="268" spans="1:8" x14ac:dyDescent="0.25">
      <c r="A268" t="str" cm="1">
        <f t="array" aca="1" ref="A268" ca="1">"a_SL_3_" &amp; INDIRECT("F" &amp; ROW(C268) - 16) &amp; "_p"</f>
        <v>a_SL_3_2_5_p</v>
      </c>
      <c r="B268">
        <v>2</v>
      </c>
      <c r="C268" t="s">
        <v>6</v>
      </c>
    </row>
    <row r="269" spans="1:8" x14ac:dyDescent="0.25">
      <c r="A269" s="5" t="s">
        <v>95</v>
      </c>
    </row>
    <row r="270" spans="1:8" x14ac:dyDescent="0.25">
      <c r="A270" t="str" cm="1">
        <f t="array" aca="1" ref="A270" ca="1">"a_DRO_1_" &amp; INDIRECT("F" &amp; ROW(C270) - 18) &amp; "_p"</f>
        <v>a_DRO_1_2_5_p</v>
      </c>
      <c r="B270">
        <v>0</v>
      </c>
      <c r="C270" t="s">
        <v>4</v>
      </c>
    </row>
    <row r="271" spans="1:8" x14ac:dyDescent="0.25">
      <c r="A271" t="str" cm="1">
        <f t="array" aca="1" ref="A271" ca="1">"a_DRO_2_" &amp; INDIRECT("F" &amp; ROW(C271) - 19) &amp; "_p"</f>
        <v>a_DRO_2_2_5_p</v>
      </c>
      <c r="B271">
        <v>0</v>
      </c>
      <c r="C271" t="s">
        <v>5</v>
      </c>
    </row>
    <row r="272" spans="1:8" x14ac:dyDescent="0.25">
      <c r="A272" t="str" cm="1">
        <f t="array" aca="1" ref="A272" ca="1">"a_DRO_3_" &amp; INDIRECT("F" &amp; ROW(C272) - 20) &amp; "_p"</f>
        <v>a_DRO_3_2_5_p</v>
      </c>
      <c r="B272">
        <v>2</v>
      </c>
      <c r="C272" t="s">
        <v>6</v>
      </c>
    </row>
    <row r="273" spans="1:8" x14ac:dyDescent="0.25">
      <c r="A273" s="5" t="s">
        <v>96</v>
      </c>
    </row>
    <row r="274" spans="1:8" x14ac:dyDescent="0.25">
      <c r="A274" t="str" cm="1">
        <f t="array" aca="1" ref="A274" ca="1">"a_CYC_1_" &amp; INDIRECT("F" &amp; ROW(C274) - 22) &amp; "_p"</f>
        <v>a_CYC_1_2_5_p</v>
      </c>
      <c r="B274">
        <v>0.1</v>
      </c>
      <c r="C274" t="s">
        <v>4</v>
      </c>
    </row>
    <row r="275" spans="1:8" x14ac:dyDescent="0.25">
      <c r="A275" t="str" cm="1">
        <f t="array" aca="1" ref="A275" ca="1">"a_CYC_2_" &amp; INDIRECT("F" &amp; ROW(C275) - 23) &amp; "_p"</f>
        <v>a_CYC_2_2_5_p</v>
      </c>
      <c r="B275">
        <v>0</v>
      </c>
      <c r="C275" t="s">
        <v>5</v>
      </c>
    </row>
    <row r="276" spans="1:8" x14ac:dyDescent="0.25">
      <c r="A276" t="str" cm="1">
        <f t="array" aca="1" ref="A276" ca="1">"a_CYC_3_" &amp; INDIRECT("F" &amp; ROW(C276) - 24) &amp; "_p"</f>
        <v>a_CYC_3_2_5_p</v>
      </c>
      <c r="B276">
        <v>2</v>
      </c>
      <c r="C276" t="s">
        <v>6</v>
      </c>
    </row>
    <row r="277" spans="1:8" x14ac:dyDescent="0.25">
      <c r="A277" s="26" t="str">
        <f>"sector " &amp; D277 &amp; " and region " &amp;E277</f>
        <v>sector 2 and region 6</v>
      </c>
      <c r="B277" s="26"/>
      <c r="C277" s="26"/>
      <c r="D277" s="24">
        <v>2</v>
      </c>
      <c r="E277" s="24">
        <v>6</v>
      </c>
      <c r="F277" s="24" t="str">
        <f>D277 &amp; "_" &amp; E277</f>
        <v>2_6</v>
      </c>
    </row>
    <row r="278" spans="1:8" x14ac:dyDescent="0.25">
      <c r="A278" s="5" t="s">
        <v>3</v>
      </c>
    </row>
    <row r="279" spans="1:8" x14ac:dyDescent="0.25">
      <c r="A279" t="str" cm="1">
        <f t="array" aca="1" ref="A279" ca="1">"a_T_1_" &amp; INDIRECT("F" &amp; ROW(C279)-2) &amp; "_p"</f>
        <v>a_T_1_2_6_p</v>
      </c>
      <c r="B279">
        <v>0</v>
      </c>
      <c r="C279" t="s">
        <v>4</v>
      </c>
    </row>
    <row r="280" spans="1:8" x14ac:dyDescent="0.25">
      <c r="A280" t="str" cm="1">
        <f t="array" aca="1" ref="A280" ca="1">"a_T_2_" &amp; INDIRECT("F" &amp; ROW(C280)-3) &amp; "_p"</f>
        <v>a_T_2_2_6_p</v>
      </c>
      <c r="B280">
        <v>0</v>
      </c>
      <c r="C280" t="s">
        <v>5</v>
      </c>
    </row>
    <row r="281" spans="1:8" x14ac:dyDescent="0.25">
      <c r="A281" t="str" cm="1">
        <f t="array" aca="1" ref="A281" ca="1">"a_T_3_" &amp; INDIRECT("F" &amp; ROW(C281)-4) &amp; "_p"</f>
        <v>a_T_3_2_6_p</v>
      </c>
      <c r="B281">
        <v>2</v>
      </c>
      <c r="C281" t="s">
        <v>6</v>
      </c>
    </row>
    <row r="282" spans="1:8" x14ac:dyDescent="0.25">
      <c r="A282" s="5" t="s">
        <v>8</v>
      </c>
    </row>
    <row r="283" spans="1:8" x14ac:dyDescent="0.25">
      <c r="A283" t="str" cm="1">
        <f t="array" aca="1" ref="A283" ca="1">"a_WS_1_" &amp; INDIRECT("F" &amp; ROW(C283)-6) &amp; "_p"</f>
        <v>a_WS_1_2_6_p</v>
      </c>
      <c r="B283">
        <v>0</v>
      </c>
      <c r="C283" t="s">
        <v>4</v>
      </c>
    </row>
    <row r="284" spans="1:8" x14ac:dyDescent="0.25">
      <c r="A284" t="str" cm="1">
        <f t="array" aca="1" ref="A284" ca="1">"a_WS_2_" &amp; INDIRECT("F" &amp; ROW(C284)-7) &amp; "_p"</f>
        <v>a_WS_2_2_6_p</v>
      </c>
      <c r="B284">
        <v>0</v>
      </c>
      <c r="C284" t="s">
        <v>5</v>
      </c>
    </row>
    <row r="285" spans="1:8" x14ac:dyDescent="0.25">
      <c r="A285" t="str" cm="1">
        <f t="array" aca="1" ref="A285" ca="1">"a_WS_3_" &amp; INDIRECT("F" &amp; ROW(C285)-8) &amp; "_p"</f>
        <v>a_WS_3_2_6_p</v>
      </c>
      <c r="B285">
        <v>2</v>
      </c>
      <c r="C285" t="s">
        <v>6</v>
      </c>
    </row>
    <row r="286" spans="1:8" x14ac:dyDescent="0.25">
      <c r="A286" s="5" t="s">
        <v>7</v>
      </c>
      <c r="F286" s="27"/>
      <c r="G286" s="27"/>
      <c r="H286" s="27"/>
    </row>
    <row r="287" spans="1:8" x14ac:dyDescent="0.25">
      <c r="A287" t="str" cm="1">
        <f t="array" aca="1" ref="A287" ca="1">"a_PREC_1_" &amp; INDIRECT("F" &amp; ROW(C287) - 10) &amp; "_p"</f>
        <v>a_PREC_1_2_6_p</v>
      </c>
      <c r="B287">
        <v>0</v>
      </c>
      <c r="C287" t="s">
        <v>4</v>
      </c>
    </row>
    <row r="288" spans="1:8" x14ac:dyDescent="0.25">
      <c r="A288" t="str" cm="1">
        <f t="array" aca="1" ref="A288" ca="1">"a_PREC_2_" &amp; INDIRECT("F" &amp; ROW(C288) - 11) &amp; "_p"</f>
        <v>a_PREC_2_2_6_p</v>
      </c>
      <c r="B288">
        <v>0</v>
      </c>
      <c r="C288" t="s">
        <v>5</v>
      </c>
    </row>
    <row r="289" spans="1:8" x14ac:dyDescent="0.25">
      <c r="A289" t="str" cm="1">
        <f t="array" aca="1" ref="A289" ca="1">"a_PREC_3_" &amp; INDIRECT("F" &amp; ROW(C289) - 12) &amp; "_p"</f>
        <v>a_PREC_3_2_6_p</v>
      </c>
      <c r="B289">
        <v>2</v>
      </c>
      <c r="C289" t="s">
        <v>6</v>
      </c>
    </row>
    <row r="290" spans="1:8" x14ac:dyDescent="0.25">
      <c r="A290" s="5" t="s">
        <v>9</v>
      </c>
      <c r="F290" s="27"/>
      <c r="G290" s="27"/>
      <c r="H290" s="27"/>
    </row>
    <row r="291" spans="1:8" x14ac:dyDescent="0.25">
      <c r="A291" t="str" cm="1">
        <f t="array" aca="1" ref="A291" ca="1">"a_SL_1_" &amp; INDIRECT("F" &amp; ROW(C291) - 14) &amp; "_p"</f>
        <v>a_SL_1_2_6_p</v>
      </c>
      <c r="B291">
        <v>0</v>
      </c>
      <c r="C291" t="s">
        <v>4</v>
      </c>
    </row>
    <row r="292" spans="1:8" x14ac:dyDescent="0.25">
      <c r="A292" t="str" cm="1">
        <f t="array" aca="1" ref="A292" ca="1">"a_SL_2_" &amp; INDIRECT("F" &amp; ROW(C292) - 15) &amp; "_p"</f>
        <v>a_SL_2_2_6_p</v>
      </c>
      <c r="B292">
        <v>0</v>
      </c>
      <c r="C292" t="s">
        <v>5</v>
      </c>
    </row>
    <row r="293" spans="1:8" x14ac:dyDescent="0.25">
      <c r="A293" t="str" cm="1">
        <f t="array" aca="1" ref="A293" ca="1">"a_SL_3_" &amp; INDIRECT("F" &amp; ROW(C293) - 16) &amp; "_p"</f>
        <v>a_SL_3_2_6_p</v>
      </c>
      <c r="B293">
        <v>2</v>
      </c>
      <c r="C293" t="s">
        <v>6</v>
      </c>
    </row>
    <row r="294" spans="1:8" x14ac:dyDescent="0.25">
      <c r="A294" s="5" t="s">
        <v>95</v>
      </c>
    </row>
    <row r="295" spans="1:8" x14ac:dyDescent="0.25">
      <c r="A295" t="str" cm="1">
        <f t="array" aca="1" ref="A295" ca="1">"a_DRO_1_" &amp; INDIRECT("F" &amp; ROW(C295) - 18) &amp; "_p"</f>
        <v>a_DRO_1_2_6_p</v>
      </c>
      <c r="B295">
        <v>0</v>
      </c>
      <c r="C295" t="s">
        <v>4</v>
      </c>
    </row>
    <row r="296" spans="1:8" x14ac:dyDescent="0.25">
      <c r="A296" t="str" cm="1">
        <f t="array" aca="1" ref="A296" ca="1">"a_DRO_2_" &amp; INDIRECT("F" &amp; ROW(C296) - 19) &amp; "_p"</f>
        <v>a_DRO_2_2_6_p</v>
      </c>
      <c r="B296">
        <v>0</v>
      </c>
      <c r="C296" t="s">
        <v>5</v>
      </c>
    </row>
    <row r="297" spans="1:8" x14ac:dyDescent="0.25">
      <c r="A297" t="str" cm="1">
        <f t="array" aca="1" ref="A297" ca="1">"a_DRO_3_" &amp; INDIRECT("F" &amp; ROW(C297) - 20) &amp; "_p"</f>
        <v>a_DRO_3_2_6_p</v>
      </c>
      <c r="B297">
        <v>2</v>
      </c>
      <c r="C297" t="s">
        <v>6</v>
      </c>
    </row>
    <row r="298" spans="1:8" x14ac:dyDescent="0.25">
      <c r="A298" s="5" t="s">
        <v>96</v>
      </c>
    </row>
    <row r="299" spans="1:8" x14ac:dyDescent="0.25">
      <c r="A299" t="str" cm="1">
        <f t="array" aca="1" ref="A299" ca="1">"a_CYC_1_" &amp; INDIRECT("F" &amp; ROW(C299) - 22) &amp; "_p"</f>
        <v>a_CYC_1_2_6_p</v>
      </c>
      <c r="B299">
        <v>0.1</v>
      </c>
      <c r="C299" t="s">
        <v>4</v>
      </c>
    </row>
    <row r="300" spans="1:8" x14ac:dyDescent="0.25">
      <c r="A300" t="str" cm="1">
        <f t="array" aca="1" ref="A300" ca="1">"a_CYC_2_" &amp; INDIRECT("F" &amp; ROW(C300) - 23) &amp; "_p"</f>
        <v>a_CYC_2_2_6_p</v>
      </c>
      <c r="B300">
        <v>0</v>
      </c>
      <c r="C300" t="s">
        <v>5</v>
      </c>
    </row>
    <row r="301" spans="1:8" x14ac:dyDescent="0.25">
      <c r="A301" t="str" cm="1">
        <f t="array" aca="1" ref="A301" ca="1">"a_CYC_3_" &amp; INDIRECT("F" &amp; ROW(C301) - 24) &amp; "_p"</f>
        <v>a_CYC_3_2_6_p</v>
      </c>
      <c r="B301">
        <v>2</v>
      </c>
      <c r="C301" t="s">
        <v>6</v>
      </c>
    </row>
    <row r="302" spans="1:8" x14ac:dyDescent="0.25">
      <c r="A302" s="26" t="str">
        <f>"sector " &amp; D302 &amp; " and region " &amp;E302</f>
        <v>sector 3 and region 1</v>
      </c>
      <c r="B302" s="26"/>
      <c r="C302" s="26"/>
      <c r="D302" s="24">
        <v>3</v>
      </c>
      <c r="E302" s="24">
        <v>1</v>
      </c>
      <c r="F302" s="24" t="str">
        <f>D302 &amp; "_" &amp; E302</f>
        <v>3_1</v>
      </c>
    </row>
    <row r="303" spans="1:8" x14ac:dyDescent="0.25">
      <c r="A303" s="5" t="s">
        <v>3</v>
      </c>
    </row>
    <row r="304" spans="1:8" x14ac:dyDescent="0.25">
      <c r="A304" t="str" cm="1">
        <f t="array" aca="1" ref="A304" ca="1">"a_T_1_" &amp; INDIRECT("F" &amp; ROW(C304)-2) &amp; "_p"</f>
        <v>a_T_1_3_1_p</v>
      </c>
      <c r="B304">
        <v>0</v>
      </c>
      <c r="C304" t="s">
        <v>4</v>
      </c>
    </row>
    <row r="305" spans="1:8" x14ac:dyDescent="0.25">
      <c r="A305" t="str" cm="1">
        <f t="array" aca="1" ref="A305" ca="1">"a_T_2_" &amp; INDIRECT("F" &amp; ROW(C305)-3) &amp; "_p"</f>
        <v>a_T_2_3_1_p</v>
      </c>
      <c r="B305">
        <v>0</v>
      </c>
      <c r="C305" t="s">
        <v>5</v>
      </c>
    </row>
    <row r="306" spans="1:8" x14ac:dyDescent="0.25">
      <c r="A306" t="str" cm="1">
        <f t="array" aca="1" ref="A306" ca="1">"a_T_3_" &amp; INDIRECT("F" &amp; ROW(C306)-4) &amp; "_p"</f>
        <v>a_T_3_3_1_p</v>
      </c>
      <c r="B306">
        <v>2</v>
      </c>
      <c r="C306" t="s">
        <v>6</v>
      </c>
    </row>
    <row r="307" spans="1:8" x14ac:dyDescent="0.25">
      <c r="A307" s="5" t="s">
        <v>8</v>
      </c>
    </row>
    <row r="308" spans="1:8" x14ac:dyDescent="0.25">
      <c r="A308" t="str" cm="1">
        <f t="array" aca="1" ref="A308" ca="1">"a_WS_1_" &amp; INDIRECT("F" &amp; ROW(C308)-6) &amp; "_p"</f>
        <v>a_WS_1_3_1_p</v>
      </c>
      <c r="B308">
        <v>0</v>
      </c>
      <c r="C308" t="s">
        <v>4</v>
      </c>
    </row>
    <row r="309" spans="1:8" x14ac:dyDescent="0.25">
      <c r="A309" t="str" cm="1">
        <f t="array" aca="1" ref="A309" ca="1">"a_WS_2_" &amp; INDIRECT("F" &amp; ROW(C309)-7) &amp; "_p"</f>
        <v>a_WS_2_3_1_p</v>
      </c>
      <c r="B309">
        <v>0</v>
      </c>
      <c r="C309" t="s">
        <v>5</v>
      </c>
    </row>
    <row r="310" spans="1:8" x14ac:dyDescent="0.25">
      <c r="A310" t="str" cm="1">
        <f t="array" aca="1" ref="A310" ca="1">"a_WS_3_" &amp; INDIRECT("F" &amp; ROW(C310)-8) &amp; "_p"</f>
        <v>a_WS_3_3_1_p</v>
      </c>
      <c r="B310">
        <v>2</v>
      </c>
      <c r="C310" t="s">
        <v>6</v>
      </c>
    </row>
    <row r="311" spans="1:8" x14ac:dyDescent="0.25">
      <c r="A311" s="5" t="s">
        <v>7</v>
      </c>
      <c r="F311" s="27"/>
      <c r="G311" s="27"/>
      <c r="H311" s="27"/>
    </row>
    <row r="312" spans="1:8" x14ac:dyDescent="0.25">
      <c r="A312" t="str" cm="1">
        <f t="array" aca="1" ref="A312" ca="1">"a_PREC_1_" &amp; INDIRECT("F" &amp; ROW(C312) - 10) &amp; "_p"</f>
        <v>a_PREC_1_3_1_p</v>
      </c>
      <c r="B312">
        <v>0</v>
      </c>
      <c r="C312" t="s">
        <v>4</v>
      </c>
    </row>
    <row r="313" spans="1:8" x14ac:dyDescent="0.25">
      <c r="A313" t="str" cm="1">
        <f t="array" aca="1" ref="A313" ca="1">"a_PREC_2_" &amp; INDIRECT("F" &amp; ROW(C313) - 11) &amp; "_p"</f>
        <v>a_PREC_2_3_1_p</v>
      </c>
      <c r="B313">
        <v>0</v>
      </c>
      <c r="C313" t="s">
        <v>5</v>
      </c>
    </row>
    <row r="314" spans="1:8" x14ac:dyDescent="0.25">
      <c r="A314" t="str" cm="1">
        <f t="array" aca="1" ref="A314" ca="1">"a_PREC_3_" &amp; INDIRECT("F" &amp; ROW(C314) - 12) &amp; "_p"</f>
        <v>a_PREC_3_3_1_p</v>
      </c>
      <c r="B314">
        <v>2</v>
      </c>
      <c r="C314" t="s">
        <v>6</v>
      </c>
    </row>
    <row r="315" spans="1:8" x14ac:dyDescent="0.25">
      <c r="A315" s="5" t="s">
        <v>9</v>
      </c>
      <c r="F315" s="27"/>
      <c r="G315" s="27"/>
      <c r="H315" s="27"/>
    </row>
    <row r="316" spans="1:8" x14ac:dyDescent="0.25">
      <c r="A316" t="str" cm="1">
        <f t="array" aca="1" ref="A316" ca="1">"a_SL_1_" &amp; INDIRECT("F" &amp; ROW(C316) - 14) &amp; "_p"</f>
        <v>a_SL_1_3_1_p</v>
      </c>
      <c r="B316">
        <v>0</v>
      </c>
      <c r="C316" t="s">
        <v>4</v>
      </c>
    </row>
    <row r="317" spans="1:8" x14ac:dyDescent="0.25">
      <c r="A317" t="str" cm="1">
        <f t="array" aca="1" ref="A317" ca="1">"a_SL_2_" &amp; INDIRECT("F" &amp; ROW(C317) - 15) &amp; "_p"</f>
        <v>a_SL_2_3_1_p</v>
      </c>
      <c r="B317">
        <v>0</v>
      </c>
      <c r="C317" t="s">
        <v>5</v>
      </c>
    </row>
    <row r="318" spans="1:8" x14ac:dyDescent="0.25">
      <c r="A318" t="str" cm="1">
        <f t="array" aca="1" ref="A318" ca="1">"a_SL_3_" &amp; INDIRECT("F" &amp; ROW(C318) - 16) &amp; "_p"</f>
        <v>a_SL_3_3_1_p</v>
      </c>
      <c r="B318">
        <v>2</v>
      </c>
      <c r="C318" t="s">
        <v>6</v>
      </c>
    </row>
    <row r="319" spans="1:8" x14ac:dyDescent="0.25">
      <c r="A319" s="5" t="s">
        <v>95</v>
      </c>
    </row>
    <row r="320" spans="1:8" x14ac:dyDescent="0.25">
      <c r="A320" t="str" cm="1">
        <f t="array" aca="1" ref="A320" ca="1">"a_DRO_1_" &amp; INDIRECT("F" &amp; ROW(C320) - 18) &amp; "_p"</f>
        <v>a_DRO_1_3_1_p</v>
      </c>
      <c r="B320">
        <v>0</v>
      </c>
      <c r="C320" t="s">
        <v>4</v>
      </c>
    </row>
    <row r="321" spans="1:8" x14ac:dyDescent="0.25">
      <c r="A321" t="str" cm="1">
        <f t="array" aca="1" ref="A321" ca="1">"a_DRO_2_" &amp; INDIRECT("F" &amp; ROW(C321) - 19) &amp; "_p"</f>
        <v>a_DRO_2_3_1_p</v>
      </c>
      <c r="B321">
        <v>0</v>
      </c>
      <c r="C321" t="s">
        <v>5</v>
      </c>
    </row>
    <row r="322" spans="1:8" x14ac:dyDescent="0.25">
      <c r="A322" t="str" cm="1">
        <f t="array" aca="1" ref="A322" ca="1">"a_DRO_3_" &amp; INDIRECT("F" &amp; ROW(C322) - 20) &amp; "_p"</f>
        <v>a_DRO_3_3_1_p</v>
      </c>
      <c r="B322">
        <v>2</v>
      </c>
      <c r="C322" t="s">
        <v>6</v>
      </c>
    </row>
    <row r="323" spans="1:8" x14ac:dyDescent="0.25">
      <c r="A323" s="5" t="s">
        <v>96</v>
      </c>
    </row>
    <row r="324" spans="1:8" x14ac:dyDescent="0.25">
      <c r="A324" t="str" cm="1">
        <f t="array" aca="1" ref="A324" ca="1">"a_CYC_1_" &amp; INDIRECT("F" &amp; ROW(C324) - 22) &amp; "_p"</f>
        <v>a_CYC_1_3_1_p</v>
      </c>
      <c r="B324">
        <v>0.1</v>
      </c>
      <c r="C324" t="s">
        <v>4</v>
      </c>
    </row>
    <row r="325" spans="1:8" x14ac:dyDescent="0.25">
      <c r="A325" t="str" cm="1">
        <f t="array" aca="1" ref="A325" ca="1">"a_CYC_2_" &amp; INDIRECT("F" &amp; ROW(C325) - 23) &amp; "_p"</f>
        <v>a_CYC_2_3_1_p</v>
      </c>
      <c r="B325">
        <v>0</v>
      </c>
      <c r="C325" t="s">
        <v>5</v>
      </c>
    </row>
    <row r="326" spans="1:8" x14ac:dyDescent="0.25">
      <c r="A326" t="str" cm="1">
        <f t="array" aca="1" ref="A326" ca="1">"a_CYC_3_" &amp; INDIRECT("F" &amp; ROW(C326) - 24) &amp; "_p"</f>
        <v>a_CYC_3_3_1_p</v>
      </c>
      <c r="B326">
        <v>2</v>
      </c>
      <c r="C326" t="s">
        <v>6</v>
      </c>
    </row>
    <row r="327" spans="1:8" x14ac:dyDescent="0.25">
      <c r="A327" s="26" t="str">
        <f>"sector " &amp; D327 &amp; " and region " &amp;E327</f>
        <v>sector 3 and region 2</v>
      </c>
      <c r="B327" s="26"/>
      <c r="C327" s="26"/>
      <c r="D327" s="24">
        <v>3</v>
      </c>
      <c r="E327" s="24">
        <v>2</v>
      </c>
      <c r="F327" s="24" t="str">
        <f>D327 &amp; "_" &amp; E327</f>
        <v>3_2</v>
      </c>
    </row>
    <row r="328" spans="1:8" x14ac:dyDescent="0.25">
      <c r="A328" s="5" t="s">
        <v>3</v>
      </c>
    </row>
    <row r="329" spans="1:8" x14ac:dyDescent="0.25">
      <c r="A329" t="str" cm="1">
        <f t="array" aca="1" ref="A329" ca="1">"a_T_1_" &amp; INDIRECT("F" &amp; ROW(C329)-2) &amp; "_p"</f>
        <v>a_T_1_3_2_p</v>
      </c>
      <c r="B329">
        <v>0</v>
      </c>
      <c r="C329" t="s">
        <v>4</v>
      </c>
    </row>
    <row r="330" spans="1:8" x14ac:dyDescent="0.25">
      <c r="A330" t="str" cm="1">
        <f t="array" aca="1" ref="A330" ca="1">"a_T_2_" &amp; INDIRECT("F" &amp; ROW(C330)-3) &amp; "_p"</f>
        <v>a_T_2_3_2_p</v>
      </c>
      <c r="B330">
        <v>0</v>
      </c>
      <c r="C330" t="s">
        <v>5</v>
      </c>
    </row>
    <row r="331" spans="1:8" x14ac:dyDescent="0.25">
      <c r="A331" t="str" cm="1">
        <f t="array" aca="1" ref="A331" ca="1">"a_T_3_" &amp; INDIRECT("F" &amp; ROW(C331)-4) &amp; "_p"</f>
        <v>a_T_3_3_2_p</v>
      </c>
      <c r="B331">
        <v>2</v>
      </c>
      <c r="C331" t="s">
        <v>6</v>
      </c>
    </row>
    <row r="332" spans="1:8" x14ac:dyDescent="0.25">
      <c r="A332" s="5" t="s">
        <v>8</v>
      </c>
    </row>
    <row r="333" spans="1:8" x14ac:dyDescent="0.25">
      <c r="A333" t="str" cm="1">
        <f t="array" aca="1" ref="A333" ca="1">"a_WS_1_" &amp; INDIRECT("F" &amp; ROW(C333)-6) &amp; "_p"</f>
        <v>a_WS_1_3_2_p</v>
      </c>
      <c r="B333">
        <v>0</v>
      </c>
      <c r="C333" t="s">
        <v>4</v>
      </c>
    </row>
    <row r="334" spans="1:8" x14ac:dyDescent="0.25">
      <c r="A334" t="str" cm="1">
        <f t="array" aca="1" ref="A334" ca="1">"a_WS_2_" &amp; INDIRECT("F" &amp; ROW(C334)-7) &amp; "_p"</f>
        <v>a_WS_2_3_2_p</v>
      </c>
      <c r="B334">
        <v>0</v>
      </c>
      <c r="C334" t="s">
        <v>5</v>
      </c>
    </row>
    <row r="335" spans="1:8" x14ac:dyDescent="0.25">
      <c r="A335" t="str" cm="1">
        <f t="array" aca="1" ref="A335" ca="1">"a_WS_3_" &amp; INDIRECT("F" &amp; ROW(C335)-8) &amp; "_p"</f>
        <v>a_WS_3_3_2_p</v>
      </c>
      <c r="B335">
        <v>2</v>
      </c>
      <c r="C335" t="s">
        <v>6</v>
      </c>
    </row>
    <row r="336" spans="1:8" x14ac:dyDescent="0.25">
      <c r="A336" s="5" t="s">
        <v>7</v>
      </c>
      <c r="F336" s="27"/>
      <c r="G336" s="27"/>
      <c r="H336" s="27"/>
    </row>
    <row r="337" spans="1:8" x14ac:dyDescent="0.25">
      <c r="A337" t="str" cm="1">
        <f t="array" aca="1" ref="A337" ca="1">"a_PREC_1_" &amp; INDIRECT("F" &amp; ROW(C337) - 10) &amp; "_p"</f>
        <v>a_PREC_1_3_2_p</v>
      </c>
      <c r="B337">
        <v>0</v>
      </c>
      <c r="C337" t="s">
        <v>4</v>
      </c>
    </row>
    <row r="338" spans="1:8" x14ac:dyDescent="0.25">
      <c r="A338" t="str" cm="1">
        <f t="array" aca="1" ref="A338" ca="1">"a_PREC_2_" &amp; INDIRECT("F" &amp; ROW(C338) - 11) &amp; "_p"</f>
        <v>a_PREC_2_3_2_p</v>
      </c>
      <c r="B338">
        <v>0</v>
      </c>
      <c r="C338" t="s">
        <v>5</v>
      </c>
    </row>
    <row r="339" spans="1:8" x14ac:dyDescent="0.25">
      <c r="A339" t="str" cm="1">
        <f t="array" aca="1" ref="A339" ca="1">"a_PREC_3_" &amp; INDIRECT("F" &amp; ROW(C339) - 12) &amp; "_p"</f>
        <v>a_PREC_3_3_2_p</v>
      </c>
      <c r="B339">
        <v>2</v>
      </c>
      <c r="C339" t="s">
        <v>6</v>
      </c>
    </row>
    <row r="340" spans="1:8" x14ac:dyDescent="0.25">
      <c r="A340" s="5" t="s">
        <v>9</v>
      </c>
      <c r="F340" s="27"/>
      <c r="G340" s="27"/>
      <c r="H340" s="27"/>
    </row>
    <row r="341" spans="1:8" x14ac:dyDescent="0.25">
      <c r="A341" t="str" cm="1">
        <f t="array" aca="1" ref="A341" ca="1">"a_SL_1_" &amp; INDIRECT("F" &amp; ROW(C341) - 14) &amp; "_p"</f>
        <v>a_SL_1_3_2_p</v>
      </c>
      <c r="B341">
        <v>0</v>
      </c>
      <c r="C341" t="s">
        <v>4</v>
      </c>
    </row>
    <row r="342" spans="1:8" x14ac:dyDescent="0.25">
      <c r="A342" t="str" cm="1">
        <f t="array" aca="1" ref="A342" ca="1">"a_SL_2_" &amp; INDIRECT("F" &amp; ROW(C342) - 15) &amp; "_p"</f>
        <v>a_SL_2_3_2_p</v>
      </c>
      <c r="B342">
        <v>0</v>
      </c>
      <c r="C342" t="s">
        <v>5</v>
      </c>
    </row>
    <row r="343" spans="1:8" x14ac:dyDescent="0.25">
      <c r="A343" t="str" cm="1">
        <f t="array" aca="1" ref="A343" ca="1">"a_SL_3_" &amp; INDIRECT("F" &amp; ROW(C343) - 16) &amp; "_p"</f>
        <v>a_SL_3_3_2_p</v>
      </c>
      <c r="B343">
        <v>2</v>
      </c>
      <c r="C343" t="s">
        <v>6</v>
      </c>
    </row>
    <row r="344" spans="1:8" x14ac:dyDescent="0.25">
      <c r="A344" s="5" t="s">
        <v>95</v>
      </c>
    </row>
    <row r="345" spans="1:8" x14ac:dyDescent="0.25">
      <c r="A345" t="str" cm="1">
        <f t="array" aca="1" ref="A345" ca="1">"a_DRO_1_" &amp; INDIRECT("F" &amp; ROW(C345) - 18) &amp; "_p"</f>
        <v>a_DRO_1_3_2_p</v>
      </c>
      <c r="B345">
        <v>0</v>
      </c>
      <c r="C345" t="s">
        <v>4</v>
      </c>
    </row>
    <row r="346" spans="1:8" x14ac:dyDescent="0.25">
      <c r="A346" t="str" cm="1">
        <f t="array" aca="1" ref="A346" ca="1">"a_DRO_2_" &amp; INDIRECT("F" &amp; ROW(C346) - 19) &amp; "_p"</f>
        <v>a_DRO_2_3_2_p</v>
      </c>
      <c r="B346">
        <v>0</v>
      </c>
      <c r="C346" t="s">
        <v>5</v>
      </c>
    </row>
    <row r="347" spans="1:8" x14ac:dyDescent="0.25">
      <c r="A347" t="str" cm="1">
        <f t="array" aca="1" ref="A347" ca="1">"a_DRO_3_" &amp; INDIRECT("F" &amp; ROW(C347) - 20) &amp; "_p"</f>
        <v>a_DRO_3_3_2_p</v>
      </c>
      <c r="B347">
        <v>2</v>
      </c>
      <c r="C347" t="s">
        <v>6</v>
      </c>
    </row>
    <row r="348" spans="1:8" x14ac:dyDescent="0.25">
      <c r="A348" s="5" t="s">
        <v>96</v>
      </c>
    </row>
    <row r="349" spans="1:8" x14ac:dyDescent="0.25">
      <c r="A349" t="str" cm="1">
        <f t="array" aca="1" ref="A349" ca="1">"a_CYC_1_" &amp; INDIRECT("F" &amp; ROW(C349) - 22) &amp; "_p"</f>
        <v>a_CYC_1_3_2_p</v>
      </c>
      <c r="B349">
        <v>0.1</v>
      </c>
      <c r="C349" t="s">
        <v>4</v>
      </c>
    </row>
    <row r="350" spans="1:8" x14ac:dyDescent="0.25">
      <c r="A350" t="str" cm="1">
        <f t="array" aca="1" ref="A350" ca="1">"a_CYC_2_" &amp; INDIRECT("F" &amp; ROW(C350) - 23) &amp; "_p"</f>
        <v>a_CYC_2_3_2_p</v>
      </c>
      <c r="B350">
        <v>0</v>
      </c>
      <c r="C350" t="s">
        <v>5</v>
      </c>
    </row>
    <row r="351" spans="1:8" x14ac:dyDescent="0.25">
      <c r="A351" t="str" cm="1">
        <f t="array" aca="1" ref="A351" ca="1">"a_CYC_3_" &amp; INDIRECT("F" &amp; ROW(C351) - 24) &amp; "_p"</f>
        <v>a_CYC_3_3_2_p</v>
      </c>
      <c r="B351">
        <v>2</v>
      </c>
      <c r="C351" t="s">
        <v>6</v>
      </c>
    </row>
    <row r="352" spans="1:8" x14ac:dyDescent="0.25">
      <c r="A352" s="26" t="s">
        <v>117</v>
      </c>
      <c r="B352" s="26"/>
      <c r="C352" s="26"/>
      <c r="D352" s="24">
        <v>3</v>
      </c>
      <c r="E352" s="24">
        <v>3</v>
      </c>
      <c r="F352" s="24" t="str">
        <f>D352 &amp; "_" &amp; E352</f>
        <v>3_3</v>
      </c>
    </row>
    <row r="353" spans="1:8" x14ac:dyDescent="0.25">
      <c r="A353" s="5" t="s">
        <v>3</v>
      </c>
      <c r="B353" s="5"/>
      <c r="C353" s="5"/>
    </row>
    <row r="354" spans="1:8" x14ac:dyDescent="0.25">
      <c r="A354" t="str" cm="1">
        <f t="array" aca="1" ref="A354" ca="1">"a_T_1_" &amp; INDIRECT("F" &amp; ROW(C354)-2) &amp; "_p"</f>
        <v>a_T_1_3_3_p</v>
      </c>
      <c r="B354">
        <v>0</v>
      </c>
      <c r="C354" t="s">
        <v>4</v>
      </c>
    </row>
    <row r="355" spans="1:8" x14ac:dyDescent="0.25">
      <c r="A355" t="str" cm="1">
        <f t="array" aca="1" ref="A355" ca="1">"a_T_2_" &amp; INDIRECT("F" &amp; ROW(C355)-3) &amp; "_p"</f>
        <v>a_T_2_3_3_p</v>
      </c>
      <c r="B355">
        <v>0</v>
      </c>
      <c r="C355" t="s">
        <v>5</v>
      </c>
    </row>
    <row r="356" spans="1:8" x14ac:dyDescent="0.25">
      <c r="A356" t="str" cm="1">
        <f t="array" aca="1" ref="A356" ca="1">"a_T_3_" &amp; INDIRECT("F" &amp; ROW(C356)-4) &amp; "_p"</f>
        <v>a_T_3_3_3_p</v>
      </c>
      <c r="B356">
        <v>2</v>
      </c>
      <c r="C356" t="s">
        <v>6</v>
      </c>
    </row>
    <row r="357" spans="1:8" x14ac:dyDescent="0.25">
      <c r="A357" s="5" t="s">
        <v>8</v>
      </c>
    </row>
    <row r="358" spans="1:8" x14ac:dyDescent="0.25">
      <c r="A358" t="str" cm="1">
        <f t="array" aca="1" ref="A358" ca="1">"a_WS_1_" &amp; INDIRECT("F" &amp; ROW(C358)-6) &amp; "_p"</f>
        <v>a_WS_1_3_3_p</v>
      </c>
      <c r="B358">
        <v>0</v>
      </c>
      <c r="C358" t="s">
        <v>4</v>
      </c>
    </row>
    <row r="359" spans="1:8" x14ac:dyDescent="0.25">
      <c r="A359" t="str" cm="1">
        <f t="array" aca="1" ref="A359" ca="1">"a_WS_2_" &amp; INDIRECT("F" &amp; ROW(C359)-7) &amp; "_p"</f>
        <v>a_WS_2_3_3_p</v>
      </c>
      <c r="B359">
        <v>0</v>
      </c>
      <c r="C359" t="s">
        <v>5</v>
      </c>
    </row>
    <row r="360" spans="1:8" x14ac:dyDescent="0.25">
      <c r="A360" t="str" cm="1">
        <f t="array" aca="1" ref="A360" ca="1">"a_WS_3_" &amp; INDIRECT("F" &amp; ROW(C360)-8) &amp; "_p"</f>
        <v>a_WS_3_3_3_p</v>
      </c>
      <c r="B360">
        <v>2</v>
      </c>
      <c r="C360" t="s">
        <v>6</v>
      </c>
    </row>
    <row r="361" spans="1:8" x14ac:dyDescent="0.25">
      <c r="A361" s="5" t="s">
        <v>7</v>
      </c>
    </row>
    <row r="362" spans="1:8" x14ac:dyDescent="0.25">
      <c r="A362" t="str" cm="1">
        <f t="array" aca="1" ref="A362" ca="1">"a_PREC_1_" &amp; INDIRECT("F" &amp; ROW(C362) - 10) &amp; "_p"</f>
        <v>a_PREC_1_3_3_p</v>
      </c>
      <c r="B362">
        <v>0</v>
      </c>
      <c r="C362" t="s">
        <v>4</v>
      </c>
      <c r="F362" s="27"/>
      <c r="G362" s="27"/>
      <c r="H362" s="27"/>
    </row>
    <row r="363" spans="1:8" x14ac:dyDescent="0.25">
      <c r="A363" t="str" cm="1">
        <f t="array" aca="1" ref="A363" ca="1">"a_PREC_2_" &amp; INDIRECT("F" &amp; ROW(C363) - 11) &amp; "_p"</f>
        <v>a_PREC_2_3_3_p</v>
      </c>
      <c r="B363">
        <v>0</v>
      </c>
      <c r="C363" t="s">
        <v>5</v>
      </c>
    </row>
    <row r="364" spans="1:8" x14ac:dyDescent="0.25">
      <c r="A364" t="str" cm="1">
        <f t="array" aca="1" ref="A364" ca="1">"a_PREC_3_" &amp; INDIRECT("F" &amp; ROW(C364) - 12) &amp; "_p"</f>
        <v>a_PREC_3_3_3_p</v>
      </c>
      <c r="B364">
        <v>2</v>
      </c>
      <c r="C364" t="s">
        <v>6</v>
      </c>
    </row>
    <row r="365" spans="1:8" x14ac:dyDescent="0.25">
      <c r="A365" s="5" t="s">
        <v>9</v>
      </c>
    </row>
    <row r="366" spans="1:8" x14ac:dyDescent="0.25">
      <c r="A366" t="str" cm="1">
        <f t="array" aca="1" ref="A366" ca="1">"a_SL_1_" &amp; INDIRECT("F" &amp; ROW(C366) - 14) &amp; "_p"</f>
        <v>a_SL_1_3_3_p</v>
      </c>
      <c r="B366">
        <v>0</v>
      </c>
      <c r="C366" t="s">
        <v>4</v>
      </c>
      <c r="F366" s="27"/>
      <c r="G366" s="27"/>
      <c r="H366" s="27"/>
    </row>
    <row r="367" spans="1:8" x14ac:dyDescent="0.25">
      <c r="A367" t="str" cm="1">
        <f t="array" aca="1" ref="A367" ca="1">"a_SL_2_" &amp; INDIRECT("F" &amp; ROW(C367) - 15) &amp; "_p"</f>
        <v>a_SL_2_3_3_p</v>
      </c>
      <c r="B367">
        <v>0</v>
      </c>
      <c r="C367" t="s">
        <v>5</v>
      </c>
    </row>
    <row r="368" spans="1:8" x14ac:dyDescent="0.25">
      <c r="A368" t="str" cm="1">
        <f t="array" aca="1" ref="A368" ca="1">"a_SL_3_" &amp; INDIRECT("F" &amp; ROW(C368) - 16) &amp; "_p"</f>
        <v>a_SL_3_3_3_p</v>
      </c>
      <c r="B368">
        <v>2</v>
      </c>
      <c r="C368" t="s">
        <v>6</v>
      </c>
    </row>
    <row r="369" spans="1:6" x14ac:dyDescent="0.25">
      <c r="A369" s="5" t="s">
        <v>95</v>
      </c>
    </row>
    <row r="370" spans="1:6" x14ac:dyDescent="0.25">
      <c r="A370" t="str" cm="1">
        <f t="array" aca="1" ref="A370" ca="1">"a_DRO_1_" &amp; INDIRECT("F" &amp; ROW(C370) - 18) &amp; "_p"</f>
        <v>a_DRO_1_3_3_p</v>
      </c>
      <c r="B370">
        <v>0</v>
      </c>
      <c r="C370" t="s">
        <v>4</v>
      </c>
    </row>
    <row r="371" spans="1:6" x14ac:dyDescent="0.25">
      <c r="A371" t="str" cm="1">
        <f t="array" aca="1" ref="A371" ca="1">"a_DRO_2_" &amp; INDIRECT("F" &amp; ROW(C371) - 19) &amp; "_p"</f>
        <v>a_DRO_2_3_3_p</v>
      </c>
      <c r="B371">
        <v>0</v>
      </c>
      <c r="C371" t="s">
        <v>5</v>
      </c>
    </row>
    <row r="372" spans="1:6" x14ac:dyDescent="0.25">
      <c r="A372" t="str" cm="1">
        <f t="array" aca="1" ref="A372" ca="1">"a_DRO_3_" &amp; INDIRECT("F" &amp; ROW(C372) - 20) &amp; "_p"</f>
        <v>a_DRO_3_3_3_p</v>
      </c>
      <c r="B372">
        <v>2</v>
      </c>
      <c r="C372" t="s">
        <v>6</v>
      </c>
    </row>
    <row r="373" spans="1:6" x14ac:dyDescent="0.25">
      <c r="A373" s="5" t="s">
        <v>96</v>
      </c>
    </row>
    <row r="374" spans="1:6" x14ac:dyDescent="0.25">
      <c r="A374" t="str" cm="1">
        <f t="array" aca="1" ref="A374" ca="1">"a_CYC_1_" &amp; INDIRECT("F" &amp; ROW(C374) - 22) &amp; "_p"</f>
        <v>a_CYC_1_3_3_p</v>
      </c>
      <c r="B374">
        <v>0.1</v>
      </c>
      <c r="C374" t="s">
        <v>4</v>
      </c>
    </row>
    <row r="375" spans="1:6" x14ac:dyDescent="0.25">
      <c r="A375" t="str" cm="1">
        <f t="array" aca="1" ref="A375" ca="1">"a_CYC_2_" &amp; INDIRECT("F" &amp; ROW(C375) - 23) &amp; "_p"</f>
        <v>a_CYC_2_3_3_p</v>
      </c>
      <c r="B375">
        <v>0</v>
      </c>
      <c r="C375" t="s">
        <v>5</v>
      </c>
    </row>
    <row r="376" spans="1:6" x14ac:dyDescent="0.25">
      <c r="A376" t="str" cm="1">
        <f t="array" aca="1" ref="A376" ca="1">"a_CYC_3_" &amp; INDIRECT("F" &amp; ROW(C376) - 24) &amp; "_p"</f>
        <v>a_CYC_3_3_3_p</v>
      </c>
      <c r="B376">
        <v>2</v>
      </c>
      <c r="C376" t="s">
        <v>6</v>
      </c>
    </row>
    <row r="377" spans="1:6" x14ac:dyDescent="0.25">
      <c r="A377" s="26" t="s">
        <v>118</v>
      </c>
      <c r="B377" s="26"/>
      <c r="C377" s="26"/>
      <c r="D377" s="24">
        <v>3</v>
      </c>
      <c r="E377" s="24">
        <v>4</v>
      </c>
      <c r="F377" s="24" t="str">
        <f>D377 &amp; "_" &amp; E377</f>
        <v>3_4</v>
      </c>
    </row>
    <row r="378" spans="1:6" x14ac:dyDescent="0.25">
      <c r="A378" s="5" t="s">
        <v>3</v>
      </c>
    </row>
    <row r="379" spans="1:6" x14ac:dyDescent="0.25">
      <c r="A379" t="str" cm="1">
        <f t="array" aca="1" ref="A379" ca="1">"a_T_1_" &amp; INDIRECT("F" &amp; ROW(C379)-2) &amp; "_p"</f>
        <v>a_T_1_3_4_p</v>
      </c>
      <c r="B379">
        <v>0</v>
      </c>
      <c r="C379" t="s">
        <v>4</v>
      </c>
    </row>
    <row r="380" spans="1:6" x14ac:dyDescent="0.25">
      <c r="A380" t="str" cm="1">
        <f t="array" aca="1" ref="A380" ca="1">"a_T_2_" &amp; INDIRECT("F" &amp; ROW(C380)-3) &amp; "_p"</f>
        <v>a_T_2_3_4_p</v>
      </c>
      <c r="B380">
        <v>0</v>
      </c>
      <c r="C380" t="s">
        <v>5</v>
      </c>
    </row>
    <row r="381" spans="1:6" x14ac:dyDescent="0.25">
      <c r="A381" t="str" cm="1">
        <f t="array" aca="1" ref="A381" ca="1">"a_T_3_" &amp; INDIRECT("F" &amp; ROW(C381)-4) &amp; "_p"</f>
        <v>a_T_3_3_4_p</v>
      </c>
      <c r="B381">
        <v>2</v>
      </c>
      <c r="C381" t="s">
        <v>6</v>
      </c>
    </row>
    <row r="382" spans="1:6" x14ac:dyDescent="0.25">
      <c r="A382" s="5" t="s">
        <v>8</v>
      </c>
    </row>
    <row r="383" spans="1:6" x14ac:dyDescent="0.25">
      <c r="A383" t="str" cm="1">
        <f t="array" aca="1" ref="A383" ca="1">"a_WS_1_" &amp; INDIRECT("F" &amp; ROW(C383)-6) &amp; "_p"</f>
        <v>a_WS_1_3_4_p</v>
      </c>
      <c r="B383">
        <v>0</v>
      </c>
      <c r="C383" t="s">
        <v>4</v>
      </c>
    </row>
    <row r="384" spans="1:6" x14ac:dyDescent="0.25">
      <c r="A384" t="str" cm="1">
        <f t="array" aca="1" ref="A384" ca="1">"a_WS_2_" &amp; INDIRECT("F" &amp; ROW(C384)-7) &amp; "_p"</f>
        <v>a_WS_2_3_4_p</v>
      </c>
      <c r="B384">
        <v>0</v>
      </c>
      <c r="C384" t="s">
        <v>5</v>
      </c>
    </row>
    <row r="385" spans="1:8" x14ac:dyDescent="0.25">
      <c r="A385" t="str" cm="1">
        <f t="array" aca="1" ref="A385" ca="1">"a_WS_3_" &amp; INDIRECT("F" &amp; ROW(C385)-8) &amp; "_p"</f>
        <v>a_WS_3_3_4_p</v>
      </c>
      <c r="B385">
        <v>2</v>
      </c>
      <c r="C385" t="s">
        <v>6</v>
      </c>
    </row>
    <row r="386" spans="1:8" x14ac:dyDescent="0.25">
      <c r="A386" s="5" t="s">
        <v>7</v>
      </c>
      <c r="G386" s="5"/>
      <c r="H386" s="5"/>
    </row>
    <row r="387" spans="1:8" x14ac:dyDescent="0.25">
      <c r="A387" t="str" cm="1">
        <f t="array" aca="1" ref="A387" ca="1">"a_PREC_1_" &amp; INDIRECT("F" &amp; ROW(C387) - 10) &amp; "_p"</f>
        <v>a_PREC_1_3_4_p</v>
      </c>
      <c r="B387">
        <v>0</v>
      </c>
      <c r="C387" t="s">
        <v>4</v>
      </c>
      <c r="F387" s="5"/>
    </row>
    <row r="388" spans="1:8" x14ac:dyDescent="0.25">
      <c r="A388" t="str" cm="1">
        <f t="array" aca="1" ref="A388" ca="1">"a_PREC_2_" &amp; INDIRECT("F" &amp; ROW(C388) - 11) &amp; "_p"</f>
        <v>a_PREC_2_3_4_p</v>
      </c>
      <c r="B388">
        <v>0</v>
      </c>
      <c r="C388" t="s">
        <v>5</v>
      </c>
    </row>
    <row r="389" spans="1:8" x14ac:dyDescent="0.25">
      <c r="A389" t="str" cm="1">
        <f t="array" aca="1" ref="A389" ca="1">"a_PREC_3_" &amp; INDIRECT("F" &amp; ROW(C389) - 12) &amp; "_p"</f>
        <v>a_PREC_3_3_4_p</v>
      </c>
      <c r="B389">
        <v>2</v>
      </c>
      <c r="C389" t="s">
        <v>6</v>
      </c>
    </row>
    <row r="390" spans="1:8" x14ac:dyDescent="0.25">
      <c r="A390" s="5" t="s">
        <v>9</v>
      </c>
      <c r="G390" s="5"/>
      <c r="H390" s="5"/>
    </row>
    <row r="391" spans="1:8" x14ac:dyDescent="0.25">
      <c r="A391" t="str" cm="1">
        <f t="array" aca="1" ref="A391" ca="1">"a_SL_1_" &amp; INDIRECT("F" &amp; ROW(C391) - 14) &amp; "_p"</f>
        <v>a_SL_1_3_4_p</v>
      </c>
      <c r="B391">
        <v>0</v>
      </c>
      <c r="C391" t="s">
        <v>4</v>
      </c>
      <c r="F391" s="5"/>
    </row>
    <row r="392" spans="1:8" x14ac:dyDescent="0.25">
      <c r="A392" t="str" cm="1">
        <f t="array" aca="1" ref="A392" ca="1">"a_SL_2_" &amp; INDIRECT("F" &amp; ROW(C392) - 15) &amp; "_p"</f>
        <v>a_SL_2_3_4_p</v>
      </c>
      <c r="B392">
        <v>0</v>
      </c>
      <c r="C392" t="s">
        <v>5</v>
      </c>
    </row>
    <row r="393" spans="1:8" x14ac:dyDescent="0.25">
      <c r="A393" t="str" cm="1">
        <f t="array" aca="1" ref="A393" ca="1">"a_SL_3_" &amp; INDIRECT("F" &amp; ROW(C393) - 16) &amp; "_p"</f>
        <v>a_SL_3_3_4_p</v>
      </c>
      <c r="B393">
        <v>2</v>
      </c>
      <c r="C393" t="s">
        <v>6</v>
      </c>
    </row>
    <row r="394" spans="1:8" x14ac:dyDescent="0.25">
      <c r="A394" s="5" t="s">
        <v>95</v>
      </c>
    </row>
    <row r="395" spans="1:8" x14ac:dyDescent="0.25">
      <c r="A395" t="str" cm="1">
        <f t="array" aca="1" ref="A395" ca="1">"a_DRO_1_" &amp; INDIRECT("F" &amp; ROW(C395) - 18) &amp; "_p"</f>
        <v>a_DRO_1_3_4_p</v>
      </c>
      <c r="B395">
        <v>0</v>
      </c>
      <c r="C395" t="s">
        <v>4</v>
      </c>
    </row>
    <row r="396" spans="1:8" x14ac:dyDescent="0.25">
      <c r="A396" t="str" cm="1">
        <f t="array" aca="1" ref="A396" ca="1">"a_DRO_2_" &amp; INDIRECT("F" &amp; ROW(C396) - 19) &amp; "_p"</f>
        <v>a_DRO_2_3_4_p</v>
      </c>
      <c r="B396">
        <v>0</v>
      </c>
      <c r="C396" t="s">
        <v>5</v>
      </c>
    </row>
    <row r="397" spans="1:8" x14ac:dyDescent="0.25">
      <c r="A397" t="str" cm="1">
        <f t="array" aca="1" ref="A397" ca="1">"a_DRO_3_" &amp; INDIRECT("F" &amp; ROW(C397) - 20) &amp; "_p"</f>
        <v>a_DRO_3_3_4_p</v>
      </c>
      <c r="B397">
        <v>2</v>
      </c>
      <c r="C397" t="s">
        <v>6</v>
      </c>
    </row>
    <row r="398" spans="1:8" x14ac:dyDescent="0.25">
      <c r="A398" s="5" t="s">
        <v>96</v>
      </c>
    </row>
    <row r="399" spans="1:8" x14ac:dyDescent="0.25">
      <c r="A399" t="str" cm="1">
        <f t="array" aca="1" ref="A399" ca="1">"a_CYC_1_" &amp; INDIRECT("F" &amp; ROW(C399) - 22) &amp; "_p"</f>
        <v>a_CYC_1_3_4_p</v>
      </c>
      <c r="B399">
        <v>0.1</v>
      </c>
      <c r="C399" t="s">
        <v>4</v>
      </c>
    </row>
    <row r="400" spans="1:8" x14ac:dyDescent="0.25">
      <c r="A400" t="str" cm="1">
        <f t="array" aca="1" ref="A400" ca="1">"a_CYC_2_" &amp; INDIRECT("F" &amp; ROW(C400) - 23) &amp; "_p"</f>
        <v>a_CYC_2_3_4_p</v>
      </c>
      <c r="B400">
        <v>0</v>
      </c>
      <c r="C400" t="s">
        <v>5</v>
      </c>
    </row>
    <row r="401" spans="1:8" x14ac:dyDescent="0.25">
      <c r="A401" t="str" cm="1">
        <f t="array" aca="1" ref="A401" ca="1">"a_CYC_3_" &amp; INDIRECT("F" &amp; ROW(C401) - 24) &amp; "_p"</f>
        <v>a_CYC_3_3_4_p</v>
      </c>
      <c r="B401">
        <v>2</v>
      </c>
      <c r="C401" t="s">
        <v>6</v>
      </c>
    </row>
    <row r="402" spans="1:8" x14ac:dyDescent="0.25">
      <c r="A402" s="26" t="s">
        <v>119</v>
      </c>
      <c r="B402" s="26"/>
      <c r="C402" s="26"/>
      <c r="D402" s="24">
        <v>3</v>
      </c>
      <c r="E402" s="24">
        <v>5</v>
      </c>
      <c r="F402" s="24" t="str">
        <f>D402 &amp; "_" &amp; E402</f>
        <v>3_5</v>
      </c>
    </row>
    <row r="403" spans="1:8" x14ac:dyDescent="0.25">
      <c r="A403" s="5" t="s">
        <v>3</v>
      </c>
    </row>
    <row r="404" spans="1:8" x14ac:dyDescent="0.25">
      <c r="A404" t="str" cm="1">
        <f t="array" aca="1" ref="A404" ca="1">"a_T_1_" &amp; INDIRECT("F" &amp; ROW(C404)-2) &amp; "_p"</f>
        <v>a_T_1_3_5_p</v>
      </c>
      <c r="B404">
        <v>0</v>
      </c>
      <c r="C404" t="s">
        <v>4</v>
      </c>
    </row>
    <row r="405" spans="1:8" x14ac:dyDescent="0.25">
      <c r="A405" t="str" cm="1">
        <f t="array" aca="1" ref="A405" ca="1">"a_T_2_" &amp; INDIRECT("F" &amp; ROW(C405)-3) &amp; "_p"</f>
        <v>a_T_2_3_5_p</v>
      </c>
      <c r="B405">
        <v>0</v>
      </c>
      <c r="C405" t="s">
        <v>5</v>
      </c>
    </row>
    <row r="406" spans="1:8" x14ac:dyDescent="0.25">
      <c r="A406" t="str" cm="1">
        <f t="array" aca="1" ref="A406" ca="1">"a_T_3_" &amp; INDIRECT("F" &amp; ROW(C406)-4) &amp; "_p"</f>
        <v>a_T_3_3_5_p</v>
      </c>
      <c r="B406">
        <v>2</v>
      </c>
      <c r="C406" t="s">
        <v>6</v>
      </c>
    </row>
    <row r="407" spans="1:8" x14ac:dyDescent="0.25">
      <c r="A407" s="5" t="s">
        <v>8</v>
      </c>
    </row>
    <row r="408" spans="1:8" x14ac:dyDescent="0.25">
      <c r="A408" t="str" cm="1">
        <f t="array" aca="1" ref="A408" ca="1">"a_WS_1_" &amp; INDIRECT("F" &amp; ROW(C408)-6) &amp; "_p"</f>
        <v>a_WS_1_3_5_p</v>
      </c>
      <c r="B408">
        <v>0</v>
      </c>
      <c r="C408" t="s">
        <v>4</v>
      </c>
    </row>
    <row r="409" spans="1:8" x14ac:dyDescent="0.25">
      <c r="A409" t="str" cm="1">
        <f t="array" aca="1" ref="A409" ca="1">"a_WS_2_" &amp; INDIRECT("F" &amp; ROW(C409)-7) &amp; "_p"</f>
        <v>a_WS_2_3_5_p</v>
      </c>
      <c r="B409">
        <v>0</v>
      </c>
      <c r="C409" t="s">
        <v>5</v>
      </c>
    </row>
    <row r="410" spans="1:8" x14ac:dyDescent="0.25">
      <c r="A410" t="str" cm="1">
        <f t="array" aca="1" ref="A410" ca="1">"a_WS_3_" &amp; INDIRECT("F" &amp; ROW(C410)-8) &amp; "_p"</f>
        <v>a_WS_3_3_5_p</v>
      </c>
      <c r="B410">
        <v>2</v>
      </c>
      <c r="C410" t="s">
        <v>6</v>
      </c>
    </row>
    <row r="411" spans="1:8" x14ac:dyDescent="0.25">
      <c r="A411" s="5" t="s">
        <v>7</v>
      </c>
      <c r="G411" s="5"/>
      <c r="H411" s="5"/>
    </row>
    <row r="412" spans="1:8" x14ac:dyDescent="0.25">
      <c r="A412" t="str" cm="1">
        <f t="array" aca="1" ref="A412" ca="1">"a_PREC_1_" &amp; INDIRECT("F" &amp; ROW(C412) - 10) &amp; "_p"</f>
        <v>a_PREC_1_3_5_p</v>
      </c>
      <c r="B412">
        <v>0</v>
      </c>
      <c r="C412" t="s">
        <v>4</v>
      </c>
      <c r="F412" s="5"/>
    </row>
    <row r="413" spans="1:8" x14ac:dyDescent="0.25">
      <c r="A413" t="str" cm="1">
        <f t="array" aca="1" ref="A413" ca="1">"a_PREC_2_" &amp; INDIRECT("F" &amp; ROW(C413) - 11) &amp; "_p"</f>
        <v>a_PREC_2_3_5_p</v>
      </c>
      <c r="B413">
        <v>0</v>
      </c>
      <c r="C413" t="s">
        <v>5</v>
      </c>
    </row>
    <row r="414" spans="1:8" x14ac:dyDescent="0.25">
      <c r="A414" t="str" cm="1">
        <f t="array" aca="1" ref="A414" ca="1">"a_PREC_3_" &amp; INDIRECT("F" &amp; ROW(C414) - 12) &amp; "_p"</f>
        <v>a_PREC_3_3_5_p</v>
      </c>
      <c r="B414">
        <v>2</v>
      </c>
      <c r="C414" t="s">
        <v>6</v>
      </c>
    </row>
    <row r="415" spans="1:8" x14ac:dyDescent="0.25">
      <c r="A415" s="5" t="s">
        <v>9</v>
      </c>
      <c r="G415" s="5"/>
      <c r="H415" s="5"/>
    </row>
    <row r="416" spans="1:8" x14ac:dyDescent="0.25">
      <c r="A416" t="str" cm="1">
        <f t="array" aca="1" ref="A416" ca="1">"a_SL_1_" &amp; INDIRECT("F" &amp; ROW(C416) - 14) &amp; "_p"</f>
        <v>a_SL_1_3_5_p</v>
      </c>
      <c r="B416">
        <v>0</v>
      </c>
      <c r="C416" t="s">
        <v>4</v>
      </c>
      <c r="F416" s="5"/>
    </row>
    <row r="417" spans="1:6" x14ac:dyDescent="0.25">
      <c r="A417" t="str" cm="1">
        <f t="array" aca="1" ref="A417" ca="1">"a_SL_2_" &amp; INDIRECT("F" &amp; ROW(C417) - 15) &amp; "_p"</f>
        <v>a_SL_2_3_5_p</v>
      </c>
      <c r="B417">
        <v>0</v>
      </c>
      <c r="C417" t="s">
        <v>5</v>
      </c>
    </row>
    <row r="418" spans="1:6" x14ac:dyDescent="0.25">
      <c r="A418" t="str" cm="1">
        <f t="array" aca="1" ref="A418" ca="1">"a_SL_3_" &amp; INDIRECT("F" &amp; ROW(C418) - 16) &amp; "_p"</f>
        <v>a_SL_3_3_5_p</v>
      </c>
      <c r="B418">
        <v>2</v>
      </c>
      <c r="C418" t="s">
        <v>6</v>
      </c>
    </row>
    <row r="419" spans="1:6" x14ac:dyDescent="0.25">
      <c r="A419" s="5" t="s">
        <v>95</v>
      </c>
    </row>
    <row r="420" spans="1:6" x14ac:dyDescent="0.25">
      <c r="A420" t="str" cm="1">
        <f t="array" aca="1" ref="A420" ca="1">"a_DRO_1_" &amp; INDIRECT("F" &amp; ROW(C420) - 18) &amp; "_p"</f>
        <v>a_DRO_1_3_5_p</v>
      </c>
      <c r="B420">
        <v>0</v>
      </c>
      <c r="C420" t="s">
        <v>4</v>
      </c>
    </row>
    <row r="421" spans="1:6" x14ac:dyDescent="0.25">
      <c r="A421" t="str" cm="1">
        <f t="array" aca="1" ref="A421" ca="1">"a_DRO_2_" &amp; INDIRECT("F" &amp; ROW(C421) - 19) &amp; "_p"</f>
        <v>a_DRO_2_3_5_p</v>
      </c>
      <c r="B421">
        <v>0</v>
      </c>
      <c r="C421" t="s">
        <v>5</v>
      </c>
    </row>
    <row r="422" spans="1:6" x14ac:dyDescent="0.25">
      <c r="A422" t="str" cm="1">
        <f t="array" aca="1" ref="A422" ca="1">"a_DRO_3_" &amp; INDIRECT("F" &amp; ROW(C422) - 20) &amp; "_p"</f>
        <v>a_DRO_3_3_5_p</v>
      </c>
      <c r="B422">
        <v>2</v>
      </c>
      <c r="C422" t="s">
        <v>6</v>
      </c>
    </row>
    <row r="423" spans="1:6" x14ac:dyDescent="0.25">
      <c r="A423" s="5" t="s">
        <v>96</v>
      </c>
    </row>
    <row r="424" spans="1:6" x14ac:dyDescent="0.25">
      <c r="A424" t="str" cm="1">
        <f t="array" aca="1" ref="A424" ca="1">"a_CYC_1_" &amp; INDIRECT("F" &amp; ROW(C424) - 22) &amp; "_p"</f>
        <v>a_CYC_1_3_5_p</v>
      </c>
      <c r="B424">
        <v>0.1</v>
      </c>
      <c r="C424" t="s">
        <v>4</v>
      </c>
    </row>
    <row r="425" spans="1:6" x14ac:dyDescent="0.25">
      <c r="A425" t="str" cm="1">
        <f t="array" aca="1" ref="A425" ca="1">"a_CYC_2_" &amp; INDIRECT("F" &amp; ROW(C425) - 23) &amp; "_p"</f>
        <v>a_CYC_2_3_5_p</v>
      </c>
      <c r="B425">
        <v>0</v>
      </c>
      <c r="C425" t="s">
        <v>5</v>
      </c>
    </row>
    <row r="426" spans="1:6" x14ac:dyDescent="0.25">
      <c r="A426" t="str" cm="1">
        <f t="array" aca="1" ref="A426" ca="1">"a_CYC_3_" &amp; INDIRECT("F" &amp; ROW(C426) - 24) &amp; "_p"</f>
        <v>a_CYC_3_3_5_p</v>
      </c>
      <c r="B426">
        <v>2</v>
      </c>
      <c r="C426" t="s">
        <v>6</v>
      </c>
    </row>
    <row r="427" spans="1:6" x14ac:dyDescent="0.25">
      <c r="A427" s="31" t="s">
        <v>120</v>
      </c>
      <c r="B427" s="31"/>
      <c r="C427" s="31"/>
      <c r="D427" s="25">
        <v>3</v>
      </c>
      <c r="E427" s="25">
        <v>6</v>
      </c>
      <c r="F427" s="25" t="s">
        <v>193</v>
      </c>
    </row>
    <row r="428" spans="1:6" x14ac:dyDescent="0.25">
      <c r="A428" s="5" t="s">
        <v>3</v>
      </c>
    </row>
    <row r="429" spans="1:6" x14ac:dyDescent="0.25">
      <c r="A429" t="str" cm="1">
        <f t="array" aca="1" ref="A429" ca="1">"a_T_1_" &amp; INDIRECT("F" &amp; ROW(C429)-2) &amp; "_p"</f>
        <v>a_T_1_3_6_p</v>
      </c>
      <c r="B429">
        <v>0</v>
      </c>
      <c r="C429" t="s">
        <v>4</v>
      </c>
    </row>
    <row r="430" spans="1:6" x14ac:dyDescent="0.25">
      <c r="A430" t="str" cm="1">
        <f t="array" aca="1" ref="A430" ca="1">"a_T_2_" &amp; INDIRECT("F" &amp; ROW(C430)-3) &amp; "_p"</f>
        <v>a_T_2_3_6_p</v>
      </c>
      <c r="B430">
        <v>0</v>
      </c>
      <c r="C430" t="s">
        <v>5</v>
      </c>
    </row>
    <row r="431" spans="1:6" x14ac:dyDescent="0.25">
      <c r="A431" t="str" cm="1">
        <f t="array" aca="1" ref="A431" ca="1">"a_T_3_" &amp; INDIRECT("F" &amp; ROW(C431)-4) &amp; "_p"</f>
        <v>a_T_3_3_6_p</v>
      </c>
      <c r="B431">
        <v>2</v>
      </c>
      <c r="C431" t="s">
        <v>6</v>
      </c>
    </row>
    <row r="432" spans="1:6" x14ac:dyDescent="0.25">
      <c r="A432" s="5" t="s">
        <v>8</v>
      </c>
    </row>
    <row r="433" spans="1:8" x14ac:dyDescent="0.25">
      <c r="A433" t="str" cm="1">
        <f t="array" aca="1" ref="A433" ca="1">"a_WS_1_" &amp; INDIRECT("F" &amp; ROW(C433)-6) &amp; "_p"</f>
        <v>a_WS_1_3_6_p</v>
      </c>
      <c r="B433">
        <v>0</v>
      </c>
      <c r="C433" t="s">
        <v>4</v>
      </c>
    </row>
    <row r="434" spans="1:8" x14ac:dyDescent="0.25">
      <c r="A434" t="str" cm="1">
        <f t="array" aca="1" ref="A434" ca="1">"a_WS_2_" &amp; INDIRECT("F" &amp; ROW(C434)-7) &amp; "_p"</f>
        <v>a_WS_2_3_6_p</v>
      </c>
      <c r="B434">
        <v>0</v>
      </c>
      <c r="C434" t="s">
        <v>5</v>
      </c>
    </row>
    <row r="435" spans="1:8" x14ac:dyDescent="0.25">
      <c r="A435" t="str" cm="1">
        <f t="array" aca="1" ref="A435" ca="1">"a_WS_3_" &amp; INDIRECT("F" &amp; ROW(C435)-8) &amp; "_p"</f>
        <v>a_WS_3_3_6_p</v>
      </c>
      <c r="B435">
        <v>2</v>
      </c>
      <c r="C435" t="s">
        <v>6</v>
      </c>
    </row>
    <row r="436" spans="1:8" x14ac:dyDescent="0.25">
      <c r="A436" s="5" t="s">
        <v>7</v>
      </c>
      <c r="G436" s="5"/>
      <c r="H436" s="5"/>
    </row>
    <row r="437" spans="1:8" x14ac:dyDescent="0.25">
      <c r="A437" t="str" cm="1">
        <f t="array" aca="1" ref="A437" ca="1">"a_PREC_1_" &amp; INDIRECT("F" &amp; ROW(C437) - 10) &amp; "_p"</f>
        <v>a_PREC_1_3_6_p</v>
      </c>
      <c r="B437">
        <v>0</v>
      </c>
      <c r="C437" t="s">
        <v>4</v>
      </c>
      <c r="F437" s="5"/>
    </row>
    <row r="438" spans="1:8" x14ac:dyDescent="0.25">
      <c r="A438" t="str" cm="1">
        <f t="array" aca="1" ref="A438" ca="1">"a_PREC_2_" &amp; INDIRECT("F" &amp; ROW(C438) - 11) &amp; "_p"</f>
        <v>a_PREC_2_3_6_p</v>
      </c>
      <c r="B438">
        <v>0</v>
      </c>
      <c r="C438" t="s">
        <v>5</v>
      </c>
    </row>
    <row r="439" spans="1:8" x14ac:dyDescent="0.25">
      <c r="A439" t="str" cm="1">
        <f t="array" aca="1" ref="A439" ca="1">"a_PREC_3_" &amp; INDIRECT("F" &amp; ROW(C439) - 12) &amp; "_p"</f>
        <v>a_PREC_3_3_6_p</v>
      </c>
      <c r="B439">
        <v>2</v>
      </c>
      <c r="C439" t="s">
        <v>6</v>
      </c>
    </row>
    <row r="440" spans="1:8" x14ac:dyDescent="0.25">
      <c r="A440" s="5" t="s">
        <v>9</v>
      </c>
      <c r="G440" s="5"/>
      <c r="H440" s="5"/>
    </row>
    <row r="441" spans="1:8" x14ac:dyDescent="0.25">
      <c r="A441" t="str" cm="1">
        <f t="array" aca="1" ref="A441" ca="1">"a_SL_1_" &amp; INDIRECT("F" &amp; ROW(C441) - 14) &amp; "_p"</f>
        <v>a_SL_1_3_6_p</v>
      </c>
      <c r="B441">
        <v>0</v>
      </c>
      <c r="C441" t="s">
        <v>4</v>
      </c>
      <c r="F441" s="5"/>
    </row>
    <row r="442" spans="1:8" x14ac:dyDescent="0.25">
      <c r="A442" t="str" cm="1">
        <f t="array" aca="1" ref="A442" ca="1">"a_SL_2_" &amp; INDIRECT("F" &amp; ROW(C442) - 15) &amp; "_p"</f>
        <v>a_SL_2_3_6_p</v>
      </c>
      <c r="B442">
        <v>0</v>
      </c>
      <c r="C442" t="s">
        <v>5</v>
      </c>
    </row>
    <row r="443" spans="1:8" x14ac:dyDescent="0.25">
      <c r="A443" t="str" cm="1">
        <f t="array" aca="1" ref="A443" ca="1">"a_SL_3_" &amp; INDIRECT("F" &amp; ROW(C443) - 16) &amp; "_p"</f>
        <v>a_SL_3_3_6_p</v>
      </c>
      <c r="B443">
        <v>2</v>
      </c>
      <c r="C443" t="s">
        <v>6</v>
      </c>
    </row>
    <row r="444" spans="1:8" x14ac:dyDescent="0.25">
      <c r="A444" s="5" t="s">
        <v>95</v>
      </c>
    </row>
    <row r="445" spans="1:8" x14ac:dyDescent="0.25">
      <c r="A445" t="str" cm="1">
        <f t="array" aca="1" ref="A445" ca="1">"a_DRO_1_" &amp; INDIRECT("F" &amp; ROW(C445) - 18) &amp; "_p"</f>
        <v>a_DRO_1_3_6_p</v>
      </c>
      <c r="B445">
        <v>0</v>
      </c>
      <c r="C445" t="s">
        <v>4</v>
      </c>
    </row>
    <row r="446" spans="1:8" x14ac:dyDescent="0.25">
      <c r="A446" t="str" cm="1">
        <f t="array" aca="1" ref="A446" ca="1">"a_DRO_2_" &amp; INDIRECT("F" &amp; ROW(C446) - 19) &amp; "_p"</f>
        <v>a_DRO_2_3_6_p</v>
      </c>
      <c r="B446">
        <v>0</v>
      </c>
      <c r="C446" t="s">
        <v>5</v>
      </c>
    </row>
    <row r="447" spans="1:8" x14ac:dyDescent="0.25">
      <c r="A447" t="str" cm="1">
        <f t="array" aca="1" ref="A447" ca="1">"a_DRO_3_" &amp; INDIRECT("F" &amp; ROW(C447) - 20) &amp; "_p"</f>
        <v>a_DRO_3_3_6_p</v>
      </c>
      <c r="B447">
        <v>2</v>
      </c>
      <c r="C447" t="s">
        <v>6</v>
      </c>
    </row>
    <row r="448" spans="1:8" x14ac:dyDescent="0.25">
      <c r="A448" s="5" t="s">
        <v>96</v>
      </c>
    </row>
    <row r="449" spans="1:8" x14ac:dyDescent="0.25">
      <c r="A449" t="str" cm="1">
        <f t="array" aca="1" ref="A449" ca="1">"a_CYC_1_" &amp; INDIRECT("F" &amp; ROW(C449) - 22) &amp; "_p"</f>
        <v>a_CYC_1_3_6_p</v>
      </c>
      <c r="B449">
        <v>0.1</v>
      </c>
      <c r="C449" t="s">
        <v>4</v>
      </c>
    </row>
    <row r="450" spans="1:8" x14ac:dyDescent="0.25">
      <c r="A450" t="str" cm="1">
        <f t="array" aca="1" ref="A450" ca="1">"a_CYC_2_" &amp; INDIRECT("F" &amp; ROW(C450) - 23) &amp; "_p"</f>
        <v>a_CYC_2_3_6_p</v>
      </c>
      <c r="B450">
        <v>0</v>
      </c>
      <c r="C450" t="s">
        <v>5</v>
      </c>
    </row>
    <row r="451" spans="1:8" x14ac:dyDescent="0.25">
      <c r="A451" t="str" cm="1">
        <f t="array" aca="1" ref="A451" ca="1">"a_CYC_3_" &amp; INDIRECT("F" &amp; ROW(C451) - 24) &amp; "_p"</f>
        <v>a_CYC_3_3_6_p</v>
      </c>
      <c r="B451">
        <v>2</v>
      </c>
      <c r="C451" t="s">
        <v>6</v>
      </c>
    </row>
    <row r="452" spans="1:8" x14ac:dyDescent="0.25">
      <c r="A452" s="31" t="s">
        <v>121</v>
      </c>
      <c r="B452" s="31"/>
      <c r="C452" s="31"/>
      <c r="D452" s="25">
        <v>4</v>
      </c>
      <c r="E452" s="25">
        <v>1</v>
      </c>
      <c r="F452" s="25" t="s">
        <v>192</v>
      </c>
    </row>
    <row r="453" spans="1:8" x14ac:dyDescent="0.25">
      <c r="A453" s="5" t="s">
        <v>3</v>
      </c>
    </row>
    <row r="454" spans="1:8" x14ac:dyDescent="0.25">
      <c r="A454" t="str" cm="1">
        <f t="array" aca="1" ref="A454" ca="1">"a_T_1_" &amp; INDIRECT("F" &amp; ROW(C454)-2) &amp; "_p"</f>
        <v>a_T_1_4_1_p</v>
      </c>
      <c r="B454">
        <v>0</v>
      </c>
      <c r="C454" t="s">
        <v>4</v>
      </c>
    </row>
    <row r="455" spans="1:8" x14ac:dyDescent="0.25">
      <c r="A455" t="str" cm="1">
        <f t="array" aca="1" ref="A455" ca="1">"a_T_2_" &amp; INDIRECT("F" &amp; ROW(C455)-3) &amp; "_p"</f>
        <v>a_T_2_4_1_p</v>
      </c>
      <c r="B455">
        <v>0</v>
      </c>
      <c r="C455" t="s">
        <v>5</v>
      </c>
    </row>
    <row r="456" spans="1:8" x14ac:dyDescent="0.25">
      <c r="A456" t="str" cm="1">
        <f t="array" aca="1" ref="A456" ca="1">"a_T_3_" &amp; INDIRECT("F" &amp; ROW(C456)-4) &amp; "_p"</f>
        <v>a_T_3_4_1_p</v>
      </c>
      <c r="B456">
        <v>2</v>
      </c>
      <c r="C456" t="s">
        <v>6</v>
      </c>
    </row>
    <row r="457" spans="1:8" x14ac:dyDescent="0.25">
      <c r="A457" s="5" t="s">
        <v>8</v>
      </c>
    </row>
    <row r="458" spans="1:8" x14ac:dyDescent="0.25">
      <c r="A458" t="str" cm="1">
        <f t="array" aca="1" ref="A458" ca="1">"a_WS_1_" &amp; INDIRECT("F" &amp; ROW(C458)-6) &amp; "_p"</f>
        <v>a_WS_1_4_1_p</v>
      </c>
      <c r="B458">
        <v>0</v>
      </c>
      <c r="C458" t="s">
        <v>4</v>
      </c>
    </row>
    <row r="459" spans="1:8" x14ac:dyDescent="0.25">
      <c r="A459" t="str" cm="1">
        <f t="array" aca="1" ref="A459" ca="1">"a_WS_2_" &amp; INDIRECT("F" &amp; ROW(C459)-7) &amp; "_p"</f>
        <v>a_WS_2_4_1_p</v>
      </c>
      <c r="B459">
        <v>0</v>
      </c>
      <c r="C459" t="s">
        <v>5</v>
      </c>
    </row>
    <row r="460" spans="1:8" x14ac:dyDescent="0.25">
      <c r="A460" t="str" cm="1">
        <f t="array" aca="1" ref="A460" ca="1">"a_WS_3_" &amp; INDIRECT("F" &amp; ROW(C460)-8) &amp; "_p"</f>
        <v>a_WS_3_4_1_p</v>
      </c>
      <c r="B460">
        <v>2</v>
      </c>
      <c r="C460" t="s">
        <v>6</v>
      </c>
    </row>
    <row r="461" spans="1:8" x14ac:dyDescent="0.25">
      <c r="A461" s="5" t="s">
        <v>7</v>
      </c>
      <c r="G461" s="5"/>
      <c r="H461" s="5"/>
    </row>
    <row r="462" spans="1:8" x14ac:dyDescent="0.25">
      <c r="A462" t="str" cm="1">
        <f t="array" aca="1" ref="A462" ca="1">"a_PREC_1_" &amp; INDIRECT("F" &amp; ROW(C462) - 10) &amp; "_p"</f>
        <v>a_PREC_1_4_1_p</v>
      </c>
      <c r="B462">
        <v>0</v>
      </c>
      <c r="C462" t="s">
        <v>4</v>
      </c>
      <c r="F462" s="5"/>
    </row>
    <row r="463" spans="1:8" x14ac:dyDescent="0.25">
      <c r="A463" t="str" cm="1">
        <f t="array" aca="1" ref="A463" ca="1">"a_PREC_2_" &amp; INDIRECT("F" &amp; ROW(C463) - 11) &amp; "_p"</f>
        <v>a_PREC_2_4_1_p</v>
      </c>
      <c r="B463">
        <v>0</v>
      </c>
      <c r="C463" t="s">
        <v>5</v>
      </c>
    </row>
    <row r="464" spans="1:8" x14ac:dyDescent="0.25">
      <c r="A464" t="str" cm="1">
        <f t="array" aca="1" ref="A464" ca="1">"a_PREC_3_" &amp; INDIRECT("F" &amp; ROW(C464) - 12) &amp; "_p"</f>
        <v>a_PREC_3_4_1_p</v>
      </c>
      <c r="B464">
        <v>2</v>
      </c>
      <c r="C464" t="s">
        <v>6</v>
      </c>
    </row>
    <row r="465" spans="1:8" x14ac:dyDescent="0.25">
      <c r="A465" s="5" t="s">
        <v>9</v>
      </c>
      <c r="G465" s="5"/>
      <c r="H465" s="5"/>
    </row>
    <row r="466" spans="1:8" x14ac:dyDescent="0.25">
      <c r="A466" t="str" cm="1">
        <f t="array" aca="1" ref="A466" ca="1">"a_SL_1_" &amp; INDIRECT("F" &amp; ROW(C466) - 14) &amp; "_p"</f>
        <v>a_SL_1_4_1_p</v>
      </c>
      <c r="B466">
        <v>0</v>
      </c>
      <c r="C466" t="s">
        <v>4</v>
      </c>
      <c r="F466" s="5"/>
    </row>
    <row r="467" spans="1:8" x14ac:dyDescent="0.25">
      <c r="A467" t="str" cm="1">
        <f t="array" aca="1" ref="A467" ca="1">"a_SL_2_" &amp; INDIRECT("F" &amp; ROW(C467) - 15) &amp; "_p"</f>
        <v>a_SL_2_4_1_p</v>
      </c>
      <c r="B467">
        <v>0</v>
      </c>
      <c r="C467" t="s">
        <v>5</v>
      </c>
    </row>
    <row r="468" spans="1:8" x14ac:dyDescent="0.25">
      <c r="A468" t="str" cm="1">
        <f t="array" aca="1" ref="A468" ca="1">"a_SL_3_" &amp; INDIRECT("F" &amp; ROW(C468) - 16) &amp; "_p"</f>
        <v>a_SL_3_4_1_p</v>
      </c>
      <c r="B468">
        <v>2</v>
      </c>
      <c r="C468" t="s">
        <v>6</v>
      </c>
    </row>
    <row r="469" spans="1:8" x14ac:dyDescent="0.25">
      <c r="A469" s="5" t="s">
        <v>95</v>
      </c>
    </row>
    <row r="470" spans="1:8" x14ac:dyDescent="0.25">
      <c r="A470" t="str" cm="1">
        <f t="array" aca="1" ref="A470" ca="1">"a_DRO_1_" &amp; INDIRECT("F" &amp; ROW(C470) - 18) &amp; "_p"</f>
        <v>a_DRO_1_4_1_p</v>
      </c>
      <c r="B470">
        <v>0</v>
      </c>
      <c r="C470" t="s">
        <v>4</v>
      </c>
    </row>
    <row r="471" spans="1:8" x14ac:dyDescent="0.25">
      <c r="A471" t="str" cm="1">
        <f t="array" aca="1" ref="A471" ca="1">"a_DRO_2_" &amp; INDIRECT("F" &amp; ROW(C471) - 19) &amp; "_p"</f>
        <v>a_DRO_2_4_1_p</v>
      </c>
      <c r="B471">
        <v>0</v>
      </c>
      <c r="C471" t="s">
        <v>5</v>
      </c>
    </row>
    <row r="472" spans="1:8" x14ac:dyDescent="0.25">
      <c r="A472" t="str" cm="1">
        <f t="array" aca="1" ref="A472" ca="1">"a_DRO_3_" &amp; INDIRECT("F" &amp; ROW(C472) - 20) &amp; "_p"</f>
        <v>a_DRO_3_4_1_p</v>
      </c>
      <c r="B472">
        <v>2</v>
      </c>
      <c r="C472" t="s">
        <v>6</v>
      </c>
    </row>
    <row r="473" spans="1:8" x14ac:dyDescent="0.25">
      <c r="A473" s="5" t="s">
        <v>96</v>
      </c>
    </row>
    <row r="474" spans="1:8" x14ac:dyDescent="0.25">
      <c r="A474" t="str" cm="1">
        <f t="array" aca="1" ref="A474" ca="1">"a_CYC_1_" &amp; INDIRECT("F" &amp; ROW(C474) - 22) &amp; "_p"</f>
        <v>a_CYC_1_4_1_p</v>
      </c>
      <c r="B474">
        <v>0.1</v>
      </c>
      <c r="C474" t="s">
        <v>4</v>
      </c>
    </row>
    <row r="475" spans="1:8" x14ac:dyDescent="0.25">
      <c r="A475" t="str" cm="1">
        <f t="array" aca="1" ref="A475" ca="1">"a_CYC_2_" &amp; INDIRECT("F" &amp; ROW(C475) - 23) &amp; "_p"</f>
        <v>a_CYC_2_4_1_p</v>
      </c>
      <c r="B475">
        <v>0</v>
      </c>
      <c r="C475" t="s">
        <v>5</v>
      </c>
    </row>
    <row r="476" spans="1:8" x14ac:dyDescent="0.25">
      <c r="A476" t="str" cm="1">
        <f t="array" aca="1" ref="A476" ca="1">"a_CYC_3_" &amp; INDIRECT("F" &amp; ROW(C476) - 24) &amp; "_p"</f>
        <v>a_CYC_3_4_1_p</v>
      </c>
      <c r="B476">
        <v>2</v>
      </c>
      <c r="C476" t="s">
        <v>6</v>
      </c>
    </row>
    <row r="477" spans="1:8" x14ac:dyDescent="0.25">
      <c r="A477" s="31" t="s">
        <v>122</v>
      </c>
      <c r="B477" s="31"/>
      <c r="C477" s="31"/>
      <c r="D477" s="25">
        <v>4</v>
      </c>
      <c r="E477" s="25">
        <v>2</v>
      </c>
      <c r="F477" s="25" t="s">
        <v>191</v>
      </c>
    </row>
    <row r="478" spans="1:8" x14ac:dyDescent="0.25">
      <c r="A478" s="5" t="s">
        <v>3</v>
      </c>
    </row>
    <row r="479" spans="1:8" x14ac:dyDescent="0.25">
      <c r="A479" t="str" cm="1">
        <f t="array" aca="1" ref="A479" ca="1">"a_T_1_" &amp; INDIRECT("F" &amp; ROW(C479)-2) &amp; "_p"</f>
        <v>a_T_1_4_2_p</v>
      </c>
      <c r="B479">
        <v>0</v>
      </c>
      <c r="C479" t="s">
        <v>4</v>
      </c>
    </row>
    <row r="480" spans="1:8" x14ac:dyDescent="0.25">
      <c r="A480" t="str" cm="1">
        <f t="array" aca="1" ref="A480" ca="1">"a_T_2_" &amp; INDIRECT("F" &amp; ROW(C480)-3) &amp; "_p"</f>
        <v>a_T_2_4_2_p</v>
      </c>
      <c r="B480">
        <v>0</v>
      </c>
      <c r="C480" t="s">
        <v>5</v>
      </c>
    </row>
    <row r="481" spans="1:8" x14ac:dyDescent="0.25">
      <c r="A481" t="str" cm="1">
        <f t="array" aca="1" ref="A481" ca="1">"a_T_3_" &amp; INDIRECT("F" &amp; ROW(C481)-4) &amp; "_p"</f>
        <v>a_T_3_4_2_p</v>
      </c>
      <c r="B481">
        <v>2</v>
      </c>
      <c r="C481" t="s">
        <v>6</v>
      </c>
    </row>
    <row r="482" spans="1:8" x14ac:dyDescent="0.25">
      <c r="A482" s="5" t="s">
        <v>8</v>
      </c>
    </row>
    <row r="483" spans="1:8" x14ac:dyDescent="0.25">
      <c r="A483" t="str" cm="1">
        <f t="array" aca="1" ref="A483" ca="1">"a_WS_1_" &amp; INDIRECT("F" &amp; ROW(C483)-6) &amp; "_p"</f>
        <v>a_WS_1_4_2_p</v>
      </c>
      <c r="B483">
        <v>0</v>
      </c>
      <c r="C483" t="s">
        <v>4</v>
      </c>
    </row>
    <row r="484" spans="1:8" x14ac:dyDescent="0.25">
      <c r="A484" t="str" cm="1">
        <f t="array" aca="1" ref="A484" ca="1">"a_WS_2_" &amp; INDIRECT("F" &amp; ROW(C484)-7) &amp; "_p"</f>
        <v>a_WS_2_4_2_p</v>
      </c>
      <c r="B484">
        <v>0</v>
      </c>
      <c r="C484" t="s">
        <v>5</v>
      </c>
    </row>
    <row r="485" spans="1:8" x14ac:dyDescent="0.25">
      <c r="A485" t="str" cm="1">
        <f t="array" aca="1" ref="A485" ca="1">"a_WS_3_" &amp; INDIRECT("F" &amp; ROW(C485)-8) &amp; "_p"</f>
        <v>a_WS_3_4_2_p</v>
      </c>
      <c r="B485">
        <v>2</v>
      </c>
      <c r="C485" t="s">
        <v>6</v>
      </c>
    </row>
    <row r="486" spans="1:8" x14ac:dyDescent="0.25">
      <c r="A486" s="5" t="s">
        <v>7</v>
      </c>
      <c r="G486" s="5"/>
      <c r="H486" s="5"/>
    </row>
    <row r="487" spans="1:8" x14ac:dyDescent="0.25">
      <c r="A487" t="str" cm="1">
        <f t="array" aca="1" ref="A487" ca="1">"a_PREC_1_" &amp; INDIRECT("F" &amp; ROW(C487) - 10) &amp; "_p"</f>
        <v>a_PREC_1_4_2_p</v>
      </c>
      <c r="B487">
        <v>0</v>
      </c>
      <c r="C487" t="s">
        <v>4</v>
      </c>
      <c r="F487" s="5"/>
    </row>
    <row r="488" spans="1:8" x14ac:dyDescent="0.25">
      <c r="A488" t="str" cm="1">
        <f t="array" aca="1" ref="A488" ca="1">"a_PREC_2_" &amp; INDIRECT("F" &amp; ROW(C488) - 11) &amp; "_p"</f>
        <v>a_PREC_2_4_2_p</v>
      </c>
      <c r="B488">
        <v>0</v>
      </c>
      <c r="C488" t="s">
        <v>5</v>
      </c>
    </row>
    <row r="489" spans="1:8" x14ac:dyDescent="0.25">
      <c r="A489" t="str" cm="1">
        <f t="array" aca="1" ref="A489" ca="1">"a_PREC_3_" &amp; INDIRECT("F" &amp; ROW(C489) - 12) &amp; "_p"</f>
        <v>a_PREC_3_4_2_p</v>
      </c>
      <c r="B489">
        <v>2</v>
      </c>
      <c r="C489" t="s">
        <v>6</v>
      </c>
    </row>
    <row r="490" spans="1:8" x14ac:dyDescent="0.25">
      <c r="A490" s="5" t="s">
        <v>9</v>
      </c>
      <c r="G490" s="5"/>
      <c r="H490" s="5"/>
    </row>
    <row r="491" spans="1:8" x14ac:dyDescent="0.25">
      <c r="A491" t="str" cm="1">
        <f t="array" aca="1" ref="A491" ca="1">"a_SL_1_" &amp; INDIRECT("F" &amp; ROW(C491) - 14) &amp; "_p"</f>
        <v>a_SL_1_4_2_p</v>
      </c>
      <c r="B491">
        <v>0</v>
      </c>
      <c r="C491" t="s">
        <v>4</v>
      </c>
      <c r="F491" s="5"/>
    </row>
    <row r="492" spans="1:8" x14ac:dyDescent="0.25">
      <c r="A492" t="str" cm="1">
        <f t="array" aca="1" ref="A492" ca="1">"a_SL_2_" &amp; INDIRECT("F" &amp; ROW(C492) - 15) &amp; "_p"</f>
        <v>a_SL_2_4_2_p</v>
      </c>
      <c r="B492">
        <v>0</v>
      </c>
      <c r="C492" t="s">
        <v>5</v>
      </c>
    </row>
    <row r="493" spans="1:8" x14ac:dyDescent="0.25">
      <c r="A493" t="str" cm="1">
        <f t="array" aca="1" ref="A493" ca="1">"a_SL_3_" &amp; INDIRECT("F" &amp; ROW(C493) - 16) &amp; "_p"</f>
        <v>a_SL_3_4_2_p</v>
      </c>
      <c r="B493">
        <v>2</v>
      </c>
      <c r="C493" t="s">
        <v>6</v>
      </c>
    </row>
    <row r="494" spans="1:8" x14ac:dyDescent="0.25">
      <c r="A494" s="5" t="s">
        <v>95</v>
      </c>
    </row>
    <row r="495" spans="1:8" x14ac:dyDescent="0.25">
      <c r="A495" t="str" cm="1">
        <f t="array" aca="1" ref="A495" ca="1">"a_DRO_1_" &amp; INDIRECT("F" &amp; ROW(C495) - 18) &amp; "_p"</f>
        <v>a_DRO_1_4_2_p</v>
      </c>
      <c r="B495">
        <v>0</v>
      </c>
      <c r="C495" t="s">
        <v>4</v>
      </c>
    </row>
    <row r="496" spans="1:8" x14ac:dyDescent="0.25">
      <c r="A496" t="str" cm="1">
        <f t="array" aca="1" ref="A496" ca="1">"a_DRO_2_" &amp; INDIRECT("F" &amp; ROW(C496) - 19) &amp; "_p"</f>
        <v>a_DRO_2_4_2_p</v>
      </c>
      <c r="B496">
        <v>0</v>
      </c>
      <c r="C496" t="s">
        <v>5</v>
      </c>
    </row>
    <row r="497" spans="1:8" x14ac:dyDescent="0.25">
      <c r="A497" t="str" cm="1">
        <f t="array" aca="1" ref="A497" ca="1">"a_DRO_3_" &amp; INDIRECT("F" &amp; ROW(C497) - 20) &amp; "_p"</f>
        <v>a_DRO_3_4_2_p</v>
      </c>
      <c r="B497">
        <v>2</v>
      </c>
      <c r="C497" t="s">
        <v>6</v>
      </c>
    </row>
    <row r="498" spans="1:8" x14ac:dyDescent="0.25">
      <c r="A498" s="5" t="s">
        <v>96</v>
      </c>
    </row>
    <row r="499" spans="1:8" x14ac:dyDescent="0.25">
      <c r="A499" t="str" cm="1">
        <f t="array" aca="1" ref="A499" ca="1">"a_CYC_1_" &amp; INDIRECT("F" &amp; ROW(C499) - 22) &amp; "_p"</f>
        <v>a_CYC_1_4_2_p</v>
      </c>
      <c r="B499">
        <v>0.1</v>
      </c>
      <c r="C499" t="s">
        <v>4</v>
      </c>
    </row>
    <row r="500" spans="1:8" x14ac:dyDescent="0.25">
      <c r="A500" t="str" cm="1">
        <f t="array" aca="1" ref="A500" ca="1">"a_CYC_2_" &amp; INDIRECT("F" &amp; ROW(C500) - 23) &amp; "_p"</f>
        <v>a_CYC_2_4_2_p</v>
      </c>
      <c r="B500">
        <v>0</v>
      </c>
      <c r="C500" t="s">
        <v>5</v>
      </c>
    </row>
    <row r="501" spans="1:8" x14ac:dyDescent="0.25">
      <c r="A501" t="str" cm="1">
        <f t="array" aca="1" ref="A501" ca="1">"a_CYC_3_" &amp; INDIRECT("F" &amp; ROW(C501) - 24) &amp; "_p"</f>
        <v>a_CYC_3_4_2_p</v>
      </c>
      <c r="B501">
        <v>2</v>
      </c>
      <c r="C501" t="s">
        <v>6</v>
      </c>
    </row>
    <row r="502" spans="1:8" x14ac:dyDescent="0.25">
      <c r="A502" s="31" t="s">
        <v>123</v>
      </c>
      <c r="B502" s="31"/>
      <c r="C502" s="31"/>
      <c r="D502" s="25">
        <v>4</v>
      </c>
      <c r="E502" s="25">
        <v>3</v>
      </c>
      <c r="F502" s="25" t="s">
        <v>190</v>
      </c>
    </row>
    <row r="503" spans="1:8" x14ac:dyDescent="0.25">
      <c r="A503" s="5" t="s">
        <v>3</v>
      </c>
    </row>
    <row r="504" spans="1:8" x14ac:dyDescent="0.25">
      <c r="A504" t="str" cm="1">
        <f t="array" aca="1" ref="A504" ca="1">"a_T_1_" &amp; INDIRECT("F" &amp; ROW(C504)-2) &amp; "_p"</f>
        <v>a_T_1_4_3_p</v>
      </c>
      <c r="B504">
        <v>0</v>
      </c>
      <c r="C504" t="s">
        <v>4</v>
      </c>
    </row>
    <row r="505" spans="1:8" x14ac:dyDescent="0.25">
      <c r="A505" t="str" cm="1">
        <f t="array" aca="1" ref="A505" ca="1">"a_T_2_" &amp; INDIRECT("F" &amp; ROW(C505)-3) &amp; "_p"</f>
        <v>a_T_2_4_3_p</v>
      </c>
      <c r="B505">
        <v>0</v>
      </c>
      <c r="C505" t="s">
        <v>5</v>
      </c>
    </row>
    <row r="506" spans="1:8" x14ac:dyDescent="0.25">
      <c r="A506" t="str" cm="1">
        <f t="array" aca="1" ref="A506" ca="1">"a_T_3_" &amp; INDIRECT("F" &amp; ROW(C506)-4) &amp; "_p"</f>
        <v>a_T_3_4_3_p</v>
      </c>
      <c r="B506">
        <v>2</v>
      </c>
      <c r="C506" t="s">
        <v>6</v>
      </c>
    </row>
    <row r="507" spans="1:8" x14ac:dyDescent="0.25">
      <c r="A507" s="5" t="s">
        <v>8</v>
      </c>
    </row>
    <row r="508" spans="1:8" x14ac:dyDescent="0.25">
      <c r="A508" t="str" cm="1">
        <f t="array" aca="1" ref="A508" ca="1">"a_WS_1_" &amp; INDIRECT("F" &amp; ROW(C508)-6) &amp; "_p"</f>
        <v>a_WS_1_4_3_p</v>
      </c>
      <c r="B508">
        <v>0</v>
      </c>
      <c r="C508" t="s">
        <v>4</v>
      </c>
    </row>
    <row r="509" spans="1:8" x14ac:dyDescent="0.25">
      <c r="A509" t="str" cm="1">
        <f t="array" aca="1" ref="A509" ca="1">"a_WS_2_" &amp; INDIRECT("F" &amp; ROW(C509)-7) &amp; "_p"</f>
        <v>a_WS_2_4_3_p</v>
      </c>
      <c r="B509">
        <v>0</v>
      </c>
      <c r="C509" t="s">
        <v>5</v>
      </c>
    </row>
    <row r="510" spans="1:8" x14ac:dyDescent="0.25">
      <c r="A510" t="str" cm="1">
        <f t="array" aca="1" ref="A510" ca="1">"a_WS_3_" &amp; INDIRECT("F" &amp; ROW(C510)-8) &amp; "_p"</f>
        <v>a_WS_3_4_3_p</v>
      </c>
      <c r="B510">
        <v>2</v>
      </c>
      <c r="C510" t="s">
        <v>6</v>
      </c>
    </row>
    <row r="511" spans="1:8" x14ac:dyDescent="0.25">
      <c r="A511" s="5" t="s">
        <v>7</v>
      </c>
      <c r="G511" s="5"/>
      <c r="H511" s="5"/>
    </row>
    <row r="512" spans="1:8" x14ac:dyDescent="0.25">
      <c r="A512" t="str" cm="1">
        <f t="array" aca="1" ref="A512" ca="1">"a_PREC_1_" &amp; INDIRECT("F" &amp; ROW(C512) - 10) &amp; "_p"</f>
        <v>a_PREC_1_4_3_p</v>
      </c>
      <c r="B512">
        <v>0</v>
      </c>
      <c r="C512" t="s">
        <v>4</v>
      </c>
      <c r="F512" s="5"/>
    </row>
    <row r="513" spans="1:8" x14ac:dyDescent="0.25">
      <c r="A513" t="str" cm="1">
        <f t="array" aca="1" ref="A513" ca="1">"a_PREC_2_" &amp; INDIRECT("F" &amp; ROW(C513) - 11) &amp; "_p"</f>
        <v>a_PREC_2_4_3_p</v>
      </c>
      <c r="B513">
        <v>0</v>
      </c>
      <c r="C513" t="s">
        <v>5</v>
      </c>
    </row>
    <row r="514" spans="1:8" x14ac:dyDescent="0.25">
      <c r="A514" t="str" cm="1">
        <f t="array" aca="1" ref="A514" ca="1">"a_PREC_3_" &amp; INDIRECT("F" &amp; ROW(C514) - 12) &amp; "_p"</f>
        <v>a_PREC_3_4_3_p</v>
      </c>
      <c r="B514">
        <v>2</v>
      </c>
      <c r="C514" t="s">
        <v>6</v>
      </c>
    </row>
    <row r="515" spans="1:8" x14ac:dyDescent="0.25">
      <c r="A515" s="5" t="s">
        <v>9</v>
      </c>
      <c r="G515" s="5"/>
      <c r="H515" s="5"/>
    </row>
    <row r="516" spans="1:8" x14ac:dyDescent="0.25">
      <c r="A516" t="str" cm="1">
        <f t="array" aca="1" ref="A516" ca="1">"a_SL_1_" &amp; INDIRECT("F" &amp; ROW(C516) - 14) &amp; "_p"</f>
        <v>a_SL_1_4_3_p</v>
      </c>
      <c r="B516">
        <v>0</v>
      </c>
      <c r="C516" t="s">
        <v>4</v>
      </c>
      <c r="F516" s="5"/>
    </row>
    <row r="517" spans="1:8" x14ac:dyDescent="0.25">
      <c r="A517" t="str" cm="1">
        <f t="array" aca="1" ref="A517" ca="1">"a_SL_2_" &amp; INDIRECT("F" &amp; ROW(C517) - 15) &amp; "_p"</f>
        <v>a_SL_2_4_3_p</v>
      </c>
      <c r="B517">
        <v>0</v>
      </c>
      <c r="C517" t="s">
        <v>5</v>
      </c>
    </row>
    <row r="518" spans="1:8" x14ac:dyDescent="0.25">
      <c r="A518" t="str" cm="1">
        <f t="array" aca="1" ref="A518" ca="1">"a_SL_3_" &amp; INDIRECT("F" &amp; ROW(C518) - 16) &amp; "_p"</f>
        <v>a_SL_3_4_3_p</v>
      </c>
      <c r="B518">
        <v>2</v>
      </c>
      <c r="C518" t="s">
        <v>6</v>
      </c>
    </row>
    <row r="519" spans="1:8" x14ac:dyDescent="0.25">
      <c r="A519" s="5" t="s">
        <v>95</v>
      </c>
    </row>
    <row r="520" spans="1:8" x14ac:dyDescent="0.25">
      <c r="A520" t="str" cm="1">
        <f t="array" aca="1" ref="A520" ca="1">"a_DRO_1_" &amp; INDIRECT("F" &amp; ROW(C520) - 18) &amp; "_p"</f>
        <v>a_DRO_1_4_3_p</v>
      </c>
      <c r="B520">
        <v>0</v>
      </c>
      <c r="C520" t="s">
        <v>4</v>
      </c>
    </row>
    <row r="521" spans="1:8" x14ac:dyDescent="0.25">
      <c r="A521" t="str" cm="1">
        <f t="array" aca="1" ref="A521" ca="1">"a_DRO_2_" &amp; INDIRECT("F" &amp; ROW(C521) - 19) &amp; "_p"</f>
        <v>a_DRO_2_4_3_p</v>
      </c>
      <c r="B521">
        <v>0</v>
      </c>
      <c r="C521" t="s">
        <v>5</v>
      </c>
    </row>
    <row r="522" spans="1:8" x14ac:dyDescent="0.25">
      <c r="A522" t="str" cm="1">
        <f t="array" aca="1" ref="A522" ca="1">"a_DRO_3_" &amp; INDIRECT("F" &amp; ROW(C522) - 20) &amp; "_p"</f>
        <v>a_DRO_3_4_3_p</v>
      </c>
      <c r="B522">
        <v>2</v>
      </c>
      <c r="C522" t="s">
        <v>6</v>
      </c>
    </row>
    <row r="523" spans="1:8" x14ac:dyDescent="0.25">
      <c r="A523" s="5" t="s">
        <v>96</v>
      </c>
    </row>
    <row r="524" spans="1:8" x14ac:dyDescent="0.25">
      <c r="A524" t="str" cm="1">
        <f t="array" aca="1" ref="A524" ca="1">"a_CYC_1_" &amp; INDIRECT("F" &amp; ROW(C524) - 22) &amp; "_p"</f>
        <v>a_CYC_1_4_3_p</v>
      </c>
      <c r="B524">
        <v>0.1</v>
      </c>
      <c r="C524" t="s">
        <v>4</v>
      </c>
    </row>
    <row r="525" spans="1:8" x14ac:dyDescent="0.25">
      <c r="A525" t="str" cm="1">
        <f t="array" aca="1" ref="A525" ca="1">"a_CYC_2_" &amp; INDIRECT("F" &amp; ROW(C525) - 23) &amp; "_p"</f>
        <v>a_CYC_2_4_3_p</v>
      </c>
      <c r="B525">
        <v>0</v>
      </c>
      <c r="C525" t="s">
        <v>5</v>
      </c>
    </row>
    <row r="526" spans="1:8" x14ac:dyDescent="0.25">
      <c r="A526" t="str" cm="1">
        <f t="array" aca="1" ref="A526" ca="1">"a_CYC_3_" &amp; INDIRECT("F" &amp; ROW(C526) - 24) &amp; "_p"</f>
        <v>a_CYC_3_4_3_p</v>
      </c>
      <c r="B526">
        <v>2</v>
      </c>
      <c r="C526" t="s">
        <v>6</v>
      </c>
    </row>
    <row r="527" spans="1:8" x14ac:dyDescent="0.25">
      <c r="A527" s="31" t="s">
        <v>124</v>
      </c>
      <c r="B527" s="31"/>
      <c r="C527" s="31"/>
      <c r="D527" s="25">
        <v>4</v>
      </c>
      <c r="E527" s="25">
        <v>4</v>
      </c>
      <c r="F527" s="25" t="s">
        <v>189</v>
      </c>
    </row>
    <row r="528" spans="1:8" x14ac:dyDescent="0.25">
      <c r="A528" s="5" t="s">
        <v>3</v>
      </c>
    </row>
    <row r="529" spans="1:8" x14ac:dyDescent="0.25">
      <c r="A529" t="str" cm="1">
        <f t="array" aca="1" ref="A529" ca="1">"a_T_1_" &amp; INDIRECT("F" &amp; ROW(C529)-2) &amp; "_p"</f>
        <v>a_T_1_4_4_p</v>
      </c>
      <c r="B529">
        <v>0</v>
      </c>
      <c r="C529" t="s">
        <v>4</v>
      </c>
    </row>
    <row r="530" spans="1:8" x14ac:dyDescent="0.25">
      <c r="A530" t="str" cm="1">
        <f t="array" aca="1" ref="A530" ca="1">"a_T_2_" &amp; INDIRECT("F" &amp; ROW(C530)-3) &amp; "_p"</f>
        <v>a_T_2_4_4_p</v>
      </c>
      <c r="B530">
        <v>0</v>
      </c>
      <c r="C530" t="s">
        <v>5</v>
      </c>
    </row>
    <row r="531" spans="1:8" x14ac:dyDescent="0.25">
      <c r="A531" t="str" cm="1">
        <f t="array" aca="1" ref="A531" ca="1">"a_T_3_" &amp; INDIRECT("F" &amp; ROW(C531)-4) &amp; "_p"</f>
        <v>a_T_3_4_4_p</v>
      </c>
      <c r="B531">
        <v>2</v>
      </c>
      <c r="C531" t="s">
        <v>6</v>
      </c>
    </row>
    <row r="532" spans="1:8" x14ac:dyDescent="0.25">
      <c r="A532" s="5" t="s">
        <v>8</v>
      </c>
    </row>
    <row r="533" spans="1:8" x14ac:dyDescent="0.25">
      <c r="A533" t="str" cm="1">
        <f t="array" aca="1" ref="A533" ca="1">"a_WS_1_" &amp; INDIRECT("F" &amp; ROW(C533)-6) &amp; "_p"</f>
        <v>a_WS_1_4_4_p</v>
      </c>
      <c r="B533">
        <v>0</v>
      </c>
      <c r="C533" t="s">
        <v>4</v>
      </c>
    </row>
    <row r="534" spans="1:8" x14ac:dyDescent="0.25">
      <c r="A534" t="str" cm="1">
        <f t="array" aca="1" ref="A534" ca="1">"a_WS_2_" &amp; INDIRECT("F" &amp; ROW(C534)-7) &amp; "_p"</f>
        <v>a_WS_2_4_4_p</v>
      </c>
      <c r="B534">
        <v>0</v>
      </c>
      <c r="C534" t="s">
        <v>5</v>
      </c>
    </row>
    <row r="535" spans="1:8" x14ac:dyDescent="0.25">
      <c r="A535" t="str" cm="1">
        <f t="array" aca="1" ref="A535" ca="1">"a_WS_3_" &amp; INDIRECT("F" &amp; ROW(C535)-8) &amp; "_p"</f>
        <v>a_WS_3_4_4_p</v>
      </c>
      <c r="B535">
        <v>2</v>
      </c>
      <c r="C535" t="s">
        <v>6</v>
      </c>
    </row>
    <row r="536" spans="1:8" x14ac:dyDescent="0.25">
      <c r="A536" s="5" t="s">
        <v>7</v>
      </c>
      <c r="G536" s="5"/>
      <c r="H536" s="5"/>
    </row>
    <row r="537" spans="1:8" x14ac:dyDescent="0.25">
      <c r="A537" t="str" cm="1">
        <f t="array" aca="1" ref="A537" ca="1">"a_PREC_1_" &amp; INDIRECT("F" &amp; ROW(C537) - 10) &amp; "_p"</f>
        <v>a_PREC_1_4_4_p</v>
      </c>
      <c r="B537">
        <v>0</v>
      </c>
      <c r="C537" t="s">
        <v>4</v>
      </c>
      <c r="F537" s="5"/>
    </row>
    <row r="538" spans="1:8" x14ac:dyDescent="0.25">
      <c r="A538" t="str" cm="1">
        <f t="array" aca="1" ref="A538" ca="1">"a_PREC_2_" &amp; INDIRECT("F" &amp; ROW(C538) - 11) &amp; "_p"</f>
        <v>a_PREC_2_4_4_p</v>
      </c>
      <c r="B538">
        <v>0</v>
      </c>
      <c r="C538" t="s">
        <v>5</v>
      </c>
    </row>
    <row r="539" spans="1:8" x14ac:dyDescent="0.25">
      <c r="A539" t="str" cm="1">
        <f t="array" aca="1" ref="A539" ca="1">"a_PREC_3_" &amp; INDIRECT("F" &amp; ROW(C539) - 12) &amp; "_p"</f>
        <v>a_PREC_3_4_4_p</v>
      </c>
      <c r="B539">
        <v>2</v>
      </c>
      <c r="C539" t="s">
        <v>6</v>
      </c>
    </row>
    <row r="540" spans="1:8" x14ac:dyDescent="0.25">
      <c r="A540" s="5" t="s">
        <v>9</v>
      </c>
      <c r="G540" s="5"/>
      <c r="H540" s="5"/>
    </row>
    <row r="541" spans="1:8" x14ac:dyDescent="0.25">
      <c r="A541" t="str" cm="1">
        <f t="array" aca="1" ref="A541" ca="1">"a_SL_1_" &amp; INDIRECT("F" &amp; ROW(C541) - 14) &amp; "_p"</f>
        <v>a_SL_1_4_4_p</v>
      </c>
      <c r="B541">
        <v>0</v>
      </c>
      <c r="C541" t="s">
        <v>4</v>
      </c>
      <c r="F541" s="5"/>
    </row>
    <row r="542" spans="1:8" x14ac:dyDescent="0.25">
      <c r="A542" t="str" cm="1">
        <f t="array" aca="1" ref="A542" ca="1">"a_SL_2_" &amp; INDIRECT("F" &amp; ROW(C542) - 15) &amp; "_p"</f>
        <v>a_SL_2_4_4_p</v>
      </c>
      <c r="B542">
        <v>0</v>
      </c>
      <c r="C542" t="s">
        <v>5</v>
      </c>
    </row>
    <row r="543" spans="1:8" x14ac:dyDescent="0.25">
      <c r="A543" t="str" cm="1">
        <f t="array" aca="1" ref="A543" ca="1">"a_SL_3_" &amp; INDIRECT("F" &amp; ROW(C543) - 16) &amp; "_p"</f>
        <v>a_SL_3_4_4_p</v>
      </c>
      <c r="B543">
        <v>2</v>
      </c>
      <c r="C543" t="s">
        <v>6</v>
      </c>
    </row>
    <row r="544" spans="1:8" x14ac:dyDescent="0.25">
      <c r="A544" s="5" t="s">
        <v>95</v>
      </c>
    </row>
    <row r="545" spans="1:6" x14ac:dyDescent="0.25">
      <c r="A545" t="str" cm="1">
        <f t="array" aca="1" ref="A545" ca="1">"a_DRO_1_" &amp; INDIRECT("F" &amp; ROW(C545) - 18) &amp; "_p"</f>
        <v>a_DRO_1_4_4_p</v>
      </c>
      <c r="B545">
        <v>0</v>
      </c>
      <c r="C545" t="s">
        <v>4</v>
      </c>
    </row>
    <row r="546" spans="1:6" x14ac:dyDescent="0.25">
      <c r="A546" t="str" cm="1">
        <f t="array" aca="1" ref="A546" ca="1">"a_DRO_2_" &amp; INDIRECT("F" &amp; ROW(C546) - 19) &amp; "_p"</f>
        <v>a_DRO_2_4_4_p</v>
      </c>
      <c r="B546">
        <v>0</v>
      </c>
      <c r="C546" t="s">
        <v>5</v>
      </c>
    </row>
    <row r="547" spans="1:6" x14ac:dyDescent="0.25">
      <c r="A547" t="str" cm="1">
        <f t="array" aca="1" ref="A547" ca="1">"a_DRO_3_" &amp; INDIRECT("F" &amp; ROW(C547) - 20) &amp; "_p"</f>
        <v>a_DRO_3_4_4_p</v>
      </c>
      <c r="B547">
        <v>2</v>
      </c>
      <c r="C547" t="s">
        <v>6</v>
      </c>
    </row>
    <row r="548" spans="1:6" x14ac:dyDescent="0.25">
      <c r="A548" s="5" t="s">
        <v>96</v>
      </c>
    </row>
    <row r="549" spans="1:6" x14ac:dyDescent="0.25">
      <c r="A549" t="str" cm="1">
        <f t="array" aca="1" ref="A549" ca="1">"a_CYC_1_" &amp; INDIRECT("F" &amp; ROW(C549) - 22) &amp; "_p"</f>
        <v>a_CYC_1_4_4_p</v>
      </c>
      <c r="B549">
        <v>0.1</v>
      </c>
      <c r="C549" t="s">
        <v>4</v>
      </c>
    </row>
    <row r="550" spans="1:6" x14ac:dyDescent="0.25">
      <c r="A550" t="str" cm="1">
        <f t="array" aca="1" ref="A550" ca="1">"a_CYC_2_" &amp; INDIRECT("F" &amp; ROW(C550) - 23) &amp; "_p"</f>
        <v>a_CYC_2_4_4_p</v>
      </c>
      <c r="B550">
        <v>0</v>
      </c>
      <c r="C550" t="s">
        <v>5</v>
      </c>
    </row>
    <row r="551" spans="1:6" x14ac:dyDescent="0.25">
      <c r="A551" t="str" cm="1">
        <f t="array" aca="1" ref="A551" ca="1">"a_CYC_3_" &amp; INDIRECT("F" &amp; ROW(C551) - 24) &amp; "_p"</f>
        <v>a_CYC_3_4_4_p</v>
      </c>
      <c r="B551">
        <v>2</v>
      </c>
      <c r="C551" t="s">
        <v>6</v>
      </c>
    </row>
    <row r="552" spans="1:6" x14ac:dyDescent="0.25">
      <c r="A552" s="31" t="s">
        <v>125</v>
      </c>
      <c r="B552" s="31"/>
      <c r="C552" s="31"/>
      <c r="D552" s="25">
        <v>4</v>
      </c>
      <c r="E552" s="25">
        <v>5</v>
      </c>
      <c r="F552" s="25" t="s">
        <v>188</v>
      </c>
    </row>
    <row r="553" spans="1:6" x14ac:dyDescent="0.25">
      <c r="A553" s="5" t="s">
        <v>3</v>
      </c>
    </row>
    <row r="554" spans="1:6" x14ac:dyDescent="0.25">
      <c r="A554" t="str" cm="1">
        <f t="array" aca="1" ref="A554" ca="1">"a_T_1_" &amp; INDIRECT("F" &amp; ROW(C554)-2) &amp; "_p"</f>
        <v>a_T_1_4_5_p</v>
      </c>
      <c r="B554">
        <v>0</v>
      </c>
      <c r="C554" t="s">
        <v>4</v>
      </c>
    </row>
    <row r="555" spans="1:6" x14ac:dyDescent="0.25">
      <c r="A555" t="str" cm="1">
        <f t="array" aca="1" ref="A555" ca="1">"a_T_2_" &amp; INDIRECT("F" &amp; ROW(C555)-3) &amp; "_p"</f>
        <v>a_T_2_4_5_p</v>
      </c>
      <c r="B555">
        <v>0</v>
      </c>
      <c r="C555" t="s">
        <v>5</v>
      </c>
    </row>
    <row r="556" spans="1:6" x14ac:dyDescent="0.25">
      <c r="A556" t="str" cm="1">
        <f t="array" aca="1" ref="A556" ca="1">"a_T_3_" &amp; INDIRECT("F" &amp; ROW(C556)-4) &amp; "_p"</f>
        <v>a_T_3_4_5_p</v>
      </c>
      <c r="B556">
        <v>2</v>
      </c>
      <c r="C556" t="s">
        <v>6</v>
      </c>
    </row>
    <row r="557" spans="1:6" x14ac:dyDescent="0.25">
      <c r="A557" s="5" t="s">
        <v>8</v>
      </c>
    </row>
    <row r="558" spans="1:6" x14ac:dyDescent="0.25">
      <c r="A558" t="str" cm="1">
        <f t="array" aca="1" ref="A558" ca="1">"a_WS_1_" &amp; INDIRECT("F" &amp; ROW(C558)-6) &amp; "_p"</f>
        <v>a_WS_1_4_5_p</v>
      </c>
      <c r="B558">
        <v>0</v>
      </c>
      <c r="C558" t="s">
        <v>4</v>
      </c>
    </row>
    <row r="559" spans="1:6" x14ac:dyDescent="0.25">
      <c r="A559" t="str" cm="1">
        <f t="array" aca="1" ref="A559" ca="1">"a_WS_2_" &amp; INDIRECT("F" &amp; ROW(C559)-7) &amp; "_p"</f>
        <v>a_WS_2_4_5_p</v>
      </c>
      <c r="B559">
        <v>0</v>
      </c>
      <c r="C559" t="s">
        <v>5</v>
      </c>
    </row>
    <row r="560" spans="1:6" x14ac:dyDescent="0.25">
      <c r="A560" t="str" cm="1">
        <f t="array" aca="1" ref="A560" ca="1">"a_WS_3_" &amp; INDIRECT("F" &amp; ROW(C560)-8) &amp; "_p"</f>
        <v>a_WS_3_4_5_p</v>
      </c>
      <c r="B560">
        <v>2</v>
      </c>
      <c r="C560" t="s">
        <v>6</v>
      </c>
    </row>
    <row r="561" spans="1:8" x14ac:dyDescent="0.25">
      <c r="A561" s="5" t="s">
        <v>7</v>
      </c>
      <c r="G561" s="5"/>
      <c r="H561" s="5"/>
    </row>
    <row r="562" spans="1:8" x14ac:dyDescent="0.25">
      <c r="A562" t="str" cm="1">
        <f t="array" aca="1" ref="A562" ca="1">"a_PREC_1_" &amp; INDIRECT("F" &amp; ROW(C562) - 10) &amp; "_p"</f>
        <v>a_PREC_1_4_5_p</v>
      </c>
      <c r="B562">
        <v>0</v>
      </c>
      <c r="C562" t="s">
        <v>4</v>
      </c>
      <c r="F562" s="5"/>
    </row>
    <row r="563" spans="1:8" x14ac:dyDescent="0.25">
      <c r="A563" t="str" cm="1">
        <f t="array" aca="1" ref="A563" ca="1">"a_PREC_2_" &amp; INDIRECT("F" &amp; ROW(C563) - 11) &amp; "_p"</f>
        <v>a_PREC_2_4_5_p</v>
      </c>
      <c r="B563">
        <v>0</v>
      </c>
      <c r="C563" t="s">
        <v>5</v>
      </c>
    </row>
    <row r="564" spans="1:8" x14ac:dyDescent="0.25">
      <c r="A564" t="str" cm="1">
        <f t="array" aca="1" ref="A564" ca="1">"a_PREC_3_" &amp; INDIRECT("F" &amp; ROW(C564) - 12) &amp; "_p"</f>
        <v>a_PREC_3_4_5_p</v>
      </c>
      <c r="B564">
        <v>2</v>
      </c>
      <c r="C564" t="s">
        <v>6</v>
      </c>
    </row>
    <row r="565" spans="1:8" x14ac:dyDescent="0.25">
      <c r="A565" s="5" t="s">
        <v>9</v>
      </c>
      <c r="G565" s="5"/>
      <c r="H565" s="5"/>
    </row>
    <row r="566" spans="1:8" x14ac:dyDescent="0.25">
      <c r="A566" t="str" cm="1">
        <f t="array" aca="1" ref="A566" ca="1">"a_SL_1_" &amp; INDIRECT("F" &amp; ROW(C566) - 14) &amp; "_p"</f>
        <v>a_SL_1_4_5_p</v>
      </c>
      <c r="B566">
        <v>0</v>
      </c>
      <c r="C566" t="s">
        <v>4</v>
      </c>
      <c r="F566" s="5"/>
    </row>
    <row r="567" spans="1:8" x14ac:dyDescent="0.25">
      <c r="A567" t="str" cm="1">
        <f t="array" aca="1" ref="A567" ca="1">"a_SL_2_" &amp; INDIRECT("F" &amp; ROW(C567) - 15) &amp; "_p"</f>
        <v>a_SL_2_4_5_p</v>
      </c>
      <c r="B567">
        <v>0</v>
      </c>
      <c r="C567" t="s">
        <v>5</v>
      </c>
    </row>
    <row r="568" spans="1:8" x14ac:dyDescent="0.25">
      <c r="A568" t="str" cm="1">
        <f t="array" aca="1" ref="A568" ca="1">"a_SL_3_" &amp; INDIRECT("F" &amp; ROW(C568) - 16) &amp; "_p"</f>
        <v>a_SL_3_4_5_p</v>
      </c>
      <c r="B568">
        <v>2</v>
      </c>
      <c r="C568" t="s">
        <v>6</v>
      </c>
    </row>
    <row r="569" spans="1:8" x14ac:dyDescent="0.25">
      <c r="A569" s="5" t="s">
        <v>95</v>
      </c>
    </row>
    <row r="570" spans="1:8" x14ac:dyDescent="0.25">
      <c r="A570" t="str" cm="1">
        <f t="array" aca="1" ref="A570" ca="1">"a_DRO_1_" &amp; INDIRECT("F" &amp; ROW(C570) - 18) &amp; "_p"</f>
        <v>a_DRO_1_4_5_p</v>
      </c>
      <c r="B570">
        <v>0</v>
      </c>
      <c r="C570" t="s">
        <v>4</v>
      </c>
    </row>
    <row r="571" spans="1:8" x14ac:dyDescent="0.25">
      <c r="A571" t="str" cm="1">
        <f t="array" aca="1" ref="A571" ca="1">"a_DRO_2_" &amp; INDIRECT("F" &amp; ROW(C571) - 19) &amp; "_p"</f>
        <v>a_DRO_2_4_5_p</v>
      </c>
      <c r="B571">
        <v>0</v>
      </c>
      <c r="C571" t="s">
        <v>5</v>
      </c>
    </row>
    <row r="572" spans="1:8" x14ac:dyDescent="0.25">
      <c r="A572" t="str" cm="1">
        <f t="array" aca="1" ref="A572" ca="1">"a_DRO_3_" &amp; INDIRECT("F" &amp; ROW(C572) - 20) &amp; "_p"</f>
        <v>a_DRO_3_4_5_p</v>
      </c>
      <c r="B572">
        <v>2</v>
      </c>
      <c r="C572" t="s">
        <v>6</v>
      </c>
    </row>
    <row r="573" spans="1:8" x14ac:dyDescent="0.25">
      <c r="A573" s="5" t="s">
        <v>96</v>
      </c>
    </row>
    <row r="574" spans="1:8" x14ac:dyDescent="0.25">
      <c r="A574" t="str" cm="1">
        <f t="array" aca="1" ref="A574" ca="1">"a_CYC_1_" &amp; INDIRECT("F" &amp; ROW(C574) - 22) &amp; "_p"</f>
        <v>a_CYC_1_4_5_p</v>
      </c>
      <c r="B574">
        <v>0.1</v>
      </c>
      <c r="C574" t="s">
        <v>4</v>
      </c>
    </row>
    <row r="575" spans="1:8" x14ac:dyDescent="0.25">
      <c r="A575" t="str" cm="1">
        <f t="array" aca="1" ref="A575" ca="1">"a_CYC_2_" &amp; INDIRECT("F" &amp; ROW(C575) - 23) &amp; "_p"</f>
        <v>a_CYC_2_4_5_p</v>
      </c>
      <c r="B575">
        <v>0</v>
      </c>
      <c r="C575" t="s">
        <v>5</v>
      </c>
    </row>
    <row r="576" spans="1:8" x14ac:dyDescent="0.25">
      <c r="A576" t="str" cm="1">
        <f t="array" aca="1" ref="A576" ca="1">"a_CYC_3_" &amp; INDIRECT("F" &amp; ROW(C576) - 24) &amp; "_p"</f>
        <v>a_CYC_3_4_5_p</v>
      </c>
      <c r="B576">
        <v>2</v>
      </c>
      <c r="C576" t="s">
        <v>6</v>
      </c>
    </row>
    <row r="577" spans="1:8" x14ac:dyDescent="0.25">
      <c r="A577" s="31" t="s">
        <v>126</v>
      </c>
      <c r="B577" s="31"/>
      <c r="C577" s="31"/>
      <c r="D577" s="25">
        <v>4</v>
      </c>
      <c r="E577" s="25">
        <v>6</v>
      </c>
      <c r="F577" s="25" t="s">
        <v>187</v>
      </c>
    </row>
    <row r="578" spans="1:8" x14ac:dyDescent="0.25">
      <c r="A578" s="5" t="s">
        <v>3</v>
      </c>
    </row>
    <row r="579" spans="1:8" x14ac:dyDescent="0.25">
      <c r="A579" t="str" cm="1">
        <f t="array" aca="1" ref="A579" ca="1">"a_T_1_" &amp; INDIRECT("F" &amp; ROW(C579)-2) &amp; "_p"</f>
        <v>a_T_1_4_6_p</v>
      </c>
      <c r="B579">
        <v>0</v>
      </c>
      <c r="C579" t="s">
        <v>4</v>
      </c>
    </row>
    <row r="580" spans="1:8" x14ac:dyDescent="0.25">
      <c r="A580" t="str" cm="1">
        <f t="array" aca="1" ref="A580" ca="1">"a_T_2_" &amp; INDIRECT("F" &amp; ROW(C580)-3) &amp; "_p"</f>
        <v>a_T_2_4_6_p</v>
      </c>
      <c r="B580">
        <v>0</v>
      </c>
      <c r="C580" t="s">
        <v>5</v>
      </c>
    </row>
    <row r="581" spans="1:8" x14ac:dyDescent="0.25">
      <c r="A581" t="str" cm="1">
        <f t="array" aca="1" ref="A581" ca="1">"a_T_3_" &amp; INDIRECT("F" &amp; ROW(C581)-4) &amp; "_p"</f>
        <v>a_T_3_4_6_p</v>
      </c>
      <c r="B581">
        <v>2</v>
      </c>
      <c r="C581" t="s">
        <v>6</v>
      </c>
    </row>
    <row r="582" spans="1:8" x14ac:dyDescent="0.25">
      <c r="A582" s="5" t="s">
        <v>8</v>
      </c>
    </row>
    <row r="583" spans="1:8" x14ac:dyDescent="0.25">
      <c r="A583" t="str" cm="1">
        <f t="array" aca="1" ref="A583" ca="1">"a_WS_1_" &amp; INDIRECT("F" &amp; ROW(C583)-6) &amp; "_p"</f>
        <v>a_WS_1_4_6_p</v>
      </c>
      <c r="B583">
        <v>0</v>
      </c>
      <c r="C583" t="s">
        <v>4</v>
      </c>
    </row>
    <row r="584" spans="1:8" x14ac:dyDescent="0.25">
      <c r="A584" t="str" cm="1">
        <f t="array" aca="1" ref="A584" ca="1">"a_WS_2_" &amp; INDIRECT("F" &amp; ROW(C584)-7) &amp; "_p"</f>
        <v>a_WS_2_4_6_p</v>
      </c>
      <c r="B584">
        <v>0</v>
      </c>
      <c r="C584" t="s">
        <v>5</v>
      </c>
    </row>
    <row r="585" spans="1:8" x14ac:dyDescent="0.25">
      <c r="A585" t="str" cm="1">
        <f t="array" aca="1" ref="A585" ca="1">"a_WS_3_" &amp; INDIRECT("F" &amp; ROW(C585)-8) &amp; "_p"</f>
        <v>a_WS_3_4_6_p</v>
      </c>
      <c r="B585">
        <v>2</v>
      </c>
      <c r="C585" t="s">
        <v>6</v>
      </c>
    </row>
    <row r="586" spans="1:8" x14ac:dyDescent="0.25">
      <c r="A586" s="5" t="s">
        <v>7</v>
      </c>
      <c r="G586" s="5"/>
      <c r="H586" s="5"/>
    </row>
    <row r="587" spans="1:8" x14ac:dyDescent="0.25">
      <c r="A587" t="str" cm="1">
        <f t="array" aca="1" ref="A587" ca="1">"a_PREC_1_" &amp; INDIRECT("F" &amp; ROW(C587) - 10) &amp; "_p"</f>
        <v>a_PREC_1_4_6_p</v>
      </c>
      <c r="B587">
        <v>0</v>
      </c>
      <c r="C587" t="s">
        <v>4</v>
      </c>
      <c r="F587" s="5"/>
    </row>
    <row r="588" spans="1:8" x14ac:dyDescent="0.25">
      <c r="A588" t="str" cm="1">
        <f t="array" aca="1" ref="A588" ca="1">"a_PREC_2_" &amp; INDIRECT("F" &amp; ROW(C588) - 11) &amp; "_p"</f>
        <v>a_PREC_2_4_6_p</v>
      </c>
      <c r="B588">
        <v>0</v>
      </c>
      <c r="C588" t="s">
        <v>5</v>
      </c>
    </row>
    <row r="589" spans="1:8" x14ac:dyDescent="0.25">
      <c r="A589" t="str" cm="1">
        <f t="array" aca="1" ref="A589" ca="1">"a_PREC_3_" &amp; INDIRECT("F" &amp; ROW(C589) - 12) &amp; "_p"</f>
        <v>a_PREC_3_4_6_p</v>
      </c>
      <c r="B589">
        <v>2</v>
      </c>
      <c r="C589" t="s">
        <v>6</v>
      </c>
    </row>
    <row r="590" spans="1:8" x14ac:dyDescent="0.25">
      <c r="A590" s="5" t="s">
        <v>9</v>
      </c>
      <c r="G590" s="5"/>
      <c r="H590" s="5"/>
    </row>
    <row r="591" spans="1:8" x14ac:dyDescent="0.25">
      <c r="A591" t="str" cm="1">
        <f t="array" aca="1" ref="A591" ca="1">"a_SL_1_" &amp; INDIRECT("F" &amp; ROW(C591) - 14) &amp; "_p"</f>
        <v>a_SL_1_4_6_p</v>
      </c>
      <c r="B591">
        <v>0</v>
      </c>
      <c r="C591" t="s">
        <v>4</v>
      </c>
      <c r="F591" s="5"/>
    </row>
    <row r="592" spans="1:8" x14ac:dyDescent="0.25">
      <c r="A592" t="str" cm="1">
        <f t="array" aca="1" ref="A592" ca="1">"a_SL_2_" &amp; INDIRECT("F" &amp; ROW(C592) - 15) &amp; "_p"</f>
        <v>a_SL_2_4_6_p</v>
      </c>
      <c r="B592">
        <v>0</v>
      </c>
      <c r="C592" t="s">
        <v>5</v>
      </c>
    </row>
    <row r="593" spans="1:6" x14ac:dyDescent="0.25">
      <c r="A593" t="str" cm="1">
        <f t="array" aca="1" ref="A593" ca="1">"a_SL_3_" &amp; INDIRECT("F" &amp; ROW(C593) - 16) &amp; "_p"</f>
        <v>a_SL_3_4_6_p</v>
      </c>
      <c r="B593">
        <v>2</v>
      </c>
      <c r="C593" t="s">
        <v>6</v>
      </c>
    </row>
    <row r="594" spans="1:6" x14ac:dyDescent="0.25">
      <c r="A594" s="5" t="s">
        <v>95</v>
      </c>
    </row>
    <row r="595" spans="1:6" x14ac:dyDescent="0.25">
      <c r="A595" t="str" cm="1">
        <f t="array" aca="1" ref="A595" ca="1">"a_DRO_1_" &amp; INDIRECT("F" &amp; ROW(C595) - 18) &amp; "_p"</f>
        <v>a_DRO_1_4_6_p</v>
      </c>
      <c r="B595">
        <v>0</v>
      </c>
      <c r="C595" t="s">
        <v>4</v>
      </c>
    </row>
    <row r="596" spans="1:6" x14ac:dyDescent="0.25">
      <c r="A596" t="str" cm="1">
        <f t="array" aca="1" ref="A596" ca="1">"a_DRO_2_" &amp; INDIRECT("F" &amp; ROW(C596) - 19) &amp; "_p"</f>
        <v>a_DRO_2_4_6_p</v>
      </c>
      <c r="B596">
        <v>0</v>
      </c>
      <c r="C596" t="s">
        <v>5</v>
      </c>
    </row>
    <row r="597" spans="1:6" x14ac:dyDescent="0.25">
      <c r="A597" t="str" cm="1">
        <f t="array" aca="1" ref="A597" ca="1">"a_DRO_3_" &amp; INDIRECT("F" &amp; ROW(C597) - 20) &amp; "_p"</f>
        <v>a_DRO_3_4_6_p</v>
      </c>
      <c r="B597">
        <v>2</v>
      </c>
      <c r="C597" t="s">
        <v>6</v>
      </c>
    </row>
    <row r="598" spans="1:6" x14ac:dyDescent="0.25">
      <c r="A598" s="5" t="s">
        <v>96</v>
      </c>
    </row>
    <row r="599" spans="1:6" x14ac:dyDescent="0.25">
      <c r="A599" t="str" cm="1">
        <f t="array" aca="1" ref="A599" ca="1">"a_CYC_1_" &amp; INDIRECT("F" &amp; ROW(C599) - 22) &amp; "_p"</f>
        <v>a_CYC_1_4_6_p</v>
      </c>
      <c r="B599">
        <v>0.1</v>
      </c>
      <c r="C599" t="s">
        <v>4</v>
      </c>
    </row>
    <row r="600" spans="1:6" x14ac:dyDescent="0.25">
      <c r="A600" t="str" cm="1">
        <f t="array" aca="1" ref="A600" ca="1">"a_CYC_2_" &amp; INDIRECT("F" &amp; ROW(C600) - 23) &amp; "_p"</f>
        <v>a_CYC_2_4_6_p</v>
      </c>
      <c r="B600">
        <v>0</v>
      </c>
      <c r="C600" t="s">
        <v>5</v>
      </c>
    </row>
    <row r="601" spans="1:6" x14ac:dyDescent="0.25">
      <c r="A601" t="str" cm="1">
        <f t="array" aca="1" ref="A601" ca="1">"a_CYC_3_" &amp; INDIRECT("F" &amp; ROW(C601) - 24) &amp; "_p"</f>
        <v>a_CYC_3_4_6_p</v>
      </c>
      <c r="B601">
        <v>2</v>
      </c>
      <c r="C601" t="s">
        <v>6</v>
      </c>
    </row>
    <row r="602" spans="1:6" x14ac:dyDescent="0.25">
      <c r="A602" s="31" t="s">
        <v>127</v>
      </c>
      <c r="B602" s="31"/>
      <c r="C602" s="31"/>
      <c r="D602" s="25">
        <v>5</v>
      </c>
      <c r="E602" s="25">
        <v>1</v>
      </c>
      <c r="F602" s="25" t="s">
        <v>186</v>
      </c>
    </row>
    <row r="603" spans="1:6" x14ac:dyDescent="0.25">
      <c r="A603" s="5" t="s">
        <v>3</v>
      </c>
    </row>
    <row r="604" spans="1:6" x14ac:dyDescent="0.25">
      <c r="A604" t="str" cm="1">
        <f t="array" aca="1" ref="A604" ca="1">"a_T_1_" &amp; INDIRECT("F" &amp; ROW(C604)-2) &amp; "_p"</f>
        <v>a_T_1_5_1_p</v>
      </c>
      <c r="B604">
        <v>0</v>
      </c>
      <c r="C604" t="s">
        <v>4</v>
      </c>
    </row>
    <row r="605" spans="1:6" x14ac:dyDescent="0.25">
      <c r="A605" t="str" cm="1">
        <f t="array" aca="1" ref="A605" ca="1">"a_T_2_" &amp; INDIRECT("F" &amp; ROW(C605)-3) &amp; "_p"</f>
        <v>a_T_2_5_1_p</v>
      </c>
      <c r="B605">
        <v>0</v>
      </c>
      <c r="C605" t="s">
        <v>5</v>
      </c>
    </row>
    <row r="606" spans="1:6" x14ac:dyDescent="0.25">
      <c r="A606" t="str" cm="1">
        <f t="array" aca="1" ref="A606" ca="1">"a_T_3_" &amp; INDIRECT("F" &amp; ROW(C606)-4) &amp; "_p"</f>
        <v>a_T_3_5_1_p</v>
      </c>
      <c r="B606">
        <v>2</v>
      </c>
      <c r="C606" t="s">
        <v>6</v>
      </c>
    </row>
    <row r="607" spans="1:6" x14ac:dyDescent="0.25">
      <c r="A607" s="5" t="s">
        <v>8</v>
      </c>
    </row>
    <row r="608" spans="1:6" x14ac:dyDescent="0.25">
      <c r="A608" t="str" cm="1">
        <f t="array" aca="1" ref="A608" ca="1">"a_WS_1_" &amp; INDIRECT("F" &amp; ROW(C608)-6) &amp; "_p"</f>
        <v>a_WS_1_5_1_p</v>
      </c>
      <c r="B608">
        <v>0</v>
      </c>
      <c r="C608" t="s">
        <v>4</v>
      </c>
    </row>
    <row r="609" spans="1:8" x14ac:dyDescent="0.25">
      <c r="A609" t="str" cm="1">
        <f t="array" aca="1" ref="A609" ca="1">"a_WS_2_" &amp; INDIRECT("F" &amp; ROW(C609)-7) &amp; "_p"</f>
        <v>a_WS_2_5_1_p</v>
      </c>
      <c r="B609">
        <v>0</v>
      </c>
      <c r="C609" t="s">
        <v>5</v>
      </c>
    </row>
    <row r="610" spans="1:8" x14ac:dyDescent="0.25">
      <c r="A610" t="str" cm="1">
        <f t="array" aca="1" ref="A610" ca="1">"a_WS_3_" &amp; INDIRECT("F" &amp; ROW(C610)-8) &amp; "_p"</f>
        <v>a_WS_3_5_1_p</v>
      </c>
      <c r="B610">
        <v>2</v>
      </c>
      <c r="C610" t="s">
        <v>6</v>
      </c>
    </row>
    <row r="611" spans="1:8" x14ac:dyDescent="0.25">
      <c r="A611" s="5" t="s">
        <v>7</v>
      </c>
      <c r="G611" s="5"/>
      <c r="H611" s="5"/>
    </row>
    <row r="612" spans="1:8" x14ac:dyDescent="0.25">
      <c r="A612" t="str" cm="1">
        <f t="array" aca="1" ref="A612" ca="1">"a_PREC_1_" &amp; INDIRECT("F" &amp; ROW(C612) - 10) &amp; "_p"</f>
        <v>a_PREC_1_5_1_p</v>
      </c>
      <c r="B612">
        <v>0</v>
      </c>
      <c r="C612" t="s">
        <v>4</v>
      </c>
      <c r="F612" s="5"/>
    </row>
    <row r="613" spans="1:8" x14ac:dyDescent="0.25">
      <c r="A613" t="str" cm="1">
        <f t="array" aca="1" ref="A613" ca="1">"a_PREC_2_" &amp; INDIRECT("F" &amp; ROW(C613) - 11) &amp; "_p"</f>
        <v>a_PREC_2_5_1_p</v>
      </c>
      <c r="B613">
        <v>0</v>
      </c>
      <c r="C613" t="s">
        <v>5</v>
      </c>
    </row>
    <row r="614" spans="1:8" x14ac:dyDescent="0.25">
      <c r="A614" t="str" cm="1">
        <f t="array" aca="1" ref="A614" ca="1">"a_PREC_3_" &amp; INDIRECT("F" &amp; ROW(C614) - 12) &amp; "_p"</f>
        <v>a_PREC_3_5_1_p</v>
      </c>
      <c r="B614">
        <v>2</v>
      </c>
      <c r="C614" t="s">
        <v>6</v>
      </c>
    </row>
    <row r="615" spans="1:8" x14ac:dyDescent="0.25">
      <c r="A615" s="5" t="s">
        <v>9</v>
      </c>
      <c r="G615" s="5"/>
      <c r="H615" s="5"/>
    </row>
    <row r="616" spans="1:8" x14ac:dyDescent="0.25">
      <c r="A616" t="str" cm="1">
        <f t="array" aca="1" ref="A616" ca="1">"a_SL_1_" &amp; INDIRECT("F" &amp; ROW(C616) - 14) &amp; "_p"</f>
        <v>a_SL_1_5_1_p</v>
      </c>
      <c r="B616">
        <v>0</v>
      </c>
      <c r="C616" t="s">
        <v>4</v>
      </c>
      <c r="F616" s="5"/>
    </row>
    <row r="617" spans="1:8" x14ac:dyDescent="0.25">
      <c r="A617" t="str" cm="1">
        <f t="array" aca="1" ref="A617" ca="1">"a_SL_2_" &amp; INDIRECT("F" &amp; ROW(C617) - 15) &amp; "_p"</f>
        <v>a_SL_2_5_1_p</v>
      </c>
      <c r="B617">
        <v>0</v>
      </c>
      <c r="C617" t="s">
        <v>5</v>
      </c>
    </row>
    <row r="618" spans="1:8" x14ac:dyDescent="0.25">
      <c r="A618" t="str" cm="1">
        <f t="array" aca="1" ref="A618" ca="1">"a_SL_3_" &amp; INDIRECT("F" &amp; ROW(C618) - 16) &amp; "_p"</f>
        <v>a_SL_3_5_1_p</v>
      </c>
      <c r="B618">
        <v>2</v>
      </c>
      <c r="C618" t="s">
        <v>6</v>
      </c>
    </row>
    <row r="619" spans="1:8" x14ac:dyDescent="0.25">
      <c r="A619" s="5" t="s">
        <v>95</v>
      </c>
    </row>
    <row r="620" spans="1:8" x14ac:dyDescent="0.25">
      <c r="A620" t="str" cm="1">
        <f t="array" aca="1" ref="A620" ca="1">"a_DRO_1_" &amp; INDIRECT("F" &amp; ROW(C620) - 18) &amp; "_p"</f>
        <v>a_DRO_1_5_1_p</v>
      </c>
      <c r="B620">
        <v>0</v>
      </c>
      <c r="C620" t="s">
        <v>4</v>
      </c>
    </row>
    <row r="621" spans="1:8" x14ac:dyDescent="0.25">
      <c r="A621" t="str" cm="1">
        <f t="array" aca="1" ref="A621" ca="1">"a_DRO_2_" &amp; INDIRECT("F" &amp; ROW(C621) - 19) &amp; "_p"</f>
        <v>a_DRO_2_5_1_p</v>
      </c>
      <c r="B621">
        <v>0</v>
      </c>
      <c r="C621" t="s">
        <v>5</v>
      </c>
    </row>
    <row r="622" spans="1:8" x14ac:dyDescent="0.25">
      <c r="A622" t="str" cm="1">
        <f t="array" aca="1" ref="A622" ca="1">"a_DRO_3_" &amp; INDIRECT("F" &amp; ROW(C622) - 20) &amp; "_p"</f>
        <v>a_DRO_3_5_1_p</v>
      </c>
      <c r="B622">
        <v>2</v>
      </c>
      <c r="C622" t="s">
        <v>6</v>
      </c>
    </row>
    <row r="623" spans="1:8" x14ac:dyDescent="0.25">
      <c r="A623" s="5" t="s">
        <v>96</v>
      </c>
    </row>
    <row r="624" spans="1:8" x14ac:dyDescent="0.25">
      <c r="A624" t="str" cm="1">
        <f t="array" aca="1" ref="A624" ca="1">"a_CYC_1_" &amp; INDIRECT("F" &amp; ROW(C624) - 22) &amp; "_p"</f>
        <v>a_CYC_1_5_1_p</v>
      </c>
      <c r="B624">
        <v>0.1</v>
      </c>
      <c r="C624" t="s">
        <v>4</v>
      </c>
    </row>
    <row r="625" spans="1:8" x14ac:dyDescent="0.25">
      <c r="A625" t="str" cm="1">
        <f t="array" aca="1" ref="A625" ca="1">"a_CYC_2_" &amp; INDIRECT("F" &amp; ROW(C625) - 23) &amp; "_p"</f>
        <v>a_CYC_2_5_1_p</v>
      </c>
      <c r="B625">
        <v>0</v>
      </c>
      <c r="C625" t="s">
        <v>5</v>
      </c>
    </row>
    <row r="626" spans="1:8" x14ac:dyDescent="0.25">
      <c r="A626" t="str" cm="1">
        <f t="array" aca="1" ref="A626" ca="1">"a_CYC_3_" &amp; INDIRECT("F" &amp; ROW(C626) - 24) &amp; "_p"</f>
        <v>a_CYC_3_5_1_p</v>
      </c>
      <c r="B626">
        <v>2</v>
      </c>
      <c r="C626" t="s">
        <v>6</v>
      </c>
    </row>
    <row r="627" spans="1:8" x14ac:dyDescent="0.25">
      <c r="A627" s="31" t="s">
        <v>128</v>
      </c>
      <c r="B627" s="31"/>
      <c r="C627" s="31"/>
      <c r="D627" s="25">
        <v>5</v>
      </c>
      <c r="E627" s="25">
        <v>2</v>
      </c>
      <c r="F627" s="25" t="s">
        <v>185</v>
      </c>
    </row>
    <row r="628" spans="1:8" x14ac:dyDescent="0.25">
      <c r="A628" s="5" t="s">
        <v>3</v>
      </c>
    </row>
    <row r="629" spans="1:8" x14ac:dyDescent="0.25">
      <c r="A629" t="str" cm="1">
        <f t="array" aca="1" ref="A629" ca="1">"a_T_1_" &amp; INDIRECT("F" &amp; ROW(C629)-2) &amp; "_p"</f>
        <v>a_T_1_5_2_p</v>
      </c>
      <c r="B629">
        <v>0</v>
      </c>
      <c r="C629" t="s">
        <v>4</v>
      </c>
    </row>
    <row r="630" spans="1:8" x14ac:dyDescent="0.25">
      <c r="A630" t="str" cm="1">
        <f t="array" aca="1" ref="A630" ca="1">"a_T_2_" &amp; INDIRECT("F" &amp; ROW(C630)-3) &amp; "_p"</f>
        <v>a_T_2_5_2_p</v>
      </c>
      <c r="B630">
        <v>0</v>
      </c>
      <c r="C630" t="s">
        <v>5</v>
      </c>
    </row>
    <row r="631" spans="1:8" x14ac:dyDescent="0.25">
      <c r="A631" t="str" cm="1">
        <f t="array" aca="1" ref="A631" ca="1">"a_T_3_" &amp; INDIRECT("F" &amp; ROW(C631)-4) &amp; "_p"</f>
        <v>a_T_3_5_2_p</v>
      </c>
      <c r="B631">
        <v>2</v>
      </c>
      <c r="C631" t="s">
        <v>6</v>
      </c>
    </row>
    <row r="632" spans="1:8" x14ac:dyDescent="0.25">
      <c r="A632" s="5" t="s">
        <v>8</v>
      </c>
    </row>
    <row r="633" spans="1:8" x14ac:dyDescent="0.25">
      <c r="A633" t="str" cm="1">
        <f t="array" aca="1" ref="A633" ca="1">"a_WS_1_" &amp; INDIRECT("F" &amp; ROW(C633)-6) &amp; "_p"</f>
        <v>a_WS_1_5_2_p</v>
      </c>
      <c r="B633">
        <v>0</v>
      </c>
      <c r="C633" t="s">
        <v>4</v>
      </c>
    </row>
    <row r="634" spans="1:8" x14ac:dyDescent="0.25">
      <c r="A634" t="str" cm="1">
        <f t="array" aca="1" ref="A634" ca="1">"a_WS_2_" &amp; INDIRECT("F" &amp; ROW(C634)-7) &amp; "_p"</f>
        <v>a_WS_2_5_2_p</v>
      </c>
      <c r="B634">
        <v>0</v>
      </c>
      <c r="C634" t="s">
        <v>5</v>
      </c>
    </row>
    <row r="635" spans="1:8" x14ac:dyDescent="0.25">
      <c r="A635" t="str" cm="1">
        <f t="array" aca="1" ref="A635" ca="1">"a_WS_3_" &amp; INDIRECT("F" &amp; ROW(C635)-8) &amp; "_p"</f>
        <v>a_WS_3_5_2_p</v>
      </c>
      <c r="B635">
        <v>2</v>
      </c>
      <c r="C635" t="s">
        <v>6</v>
      </c>
    </row>
    <row r="636" spans="1:8" x14ac:dyDescent="0.25">
      <c r="A636" s="5" t="s">
        <v>7</v>
      </c>
      <c r="G636" s="5"/>
      <c r="H636" s="5"/>
    </row>
    <row r="637" spans="1:8" x14ac:dyDescent="0.25">
      <c r="A637" t="str" cm="1">
        <f t="array" aca="1" ref="A637" ca="1">"a_PREC_1_" &amp; INDIRECT("F" &amp; ROW(C637) - 10) &amp; "_p"</f>
        <v>a_PREC_1_5_2_p</v>
      </c>
      <c r="B637">
        <v>0</v>
      </c>
      <c r="C637" t="s">
        <v>4</v>
      </c>
      <c r="F637" s="5"/>
    </row>
    <row r="638" spans="1:8" x14ac:dyDescent="0.25">
      <c r="A638" t="str" cm="1">
        <f t="array" aca="1" ref="A638" ca="1">"a_PREC_2_" &amp; INDIRECT("F" &amp; ROW(C638) - 11) &amp; "_p"</f>
        <v>a_PREC_2_5_2_p</v>
      </c>
      <c r="B638">
        <v>0</v>
      </c>
      <c r="C638" t="s">
        <v>5</v>
      </c>
    </row>
    <row r="639" spans="1:8" x14ac:dyDescent="0.25">
      <c r="A639" t="str" cm="1">
        <f t="array" aca="1" ref="A639" ca="1">"a_PREC_3_" &amp; INDIRECT("F" &amp; ROW(C639) - 12) &amp; "_p"</f>
        <v>a_PREC_3_5_2_p</v>
      </c>
      <c r="B639">
        <v>2</v>
      </c>
      <c r="C639" t="s">
        <v>6</v>
      </c>
    </row>
    <row r="640" spans="1:8" x14ac:dyDescent="0.25">
      <c r="A640" s="5" t="s">
        <v>9</v>
      </c>
      <c r="G640" s="5"/>
      <c r="H640" s="5"/>
    </row>
    <row r="641" spans="1:6" x14ac:dyDescent="0.25">
      <c r="A641" t="str" cm="1">
        <f t="array" aca="1" ref="A641" ca="1">"a_SL_1_" &amp; INDIRECT("F" &amp; ROW(C641) - 14) &amp; "_p"</f>
        <v>a_SL_1_5_2_p</v>
      </c>
      <c r="B641">
        <v>0</v>
      </c>
      <c r="C641" t="s">
        <v>4</v>
      </c>
      <c r="F641" s="5"/>
    </row>
    <row r="642" spans="1:6" x14ac:dyDescent="0.25">
      <c r="A642" t="str" cm="1">
        <f t="array" aca="1" ref="A642" ca="1">"a_SL_2_" &amp; INDIRECT("F" &amp; ROW(C642) - 15) &amp; "_p"</f>
        <v>a_SL_2_5_2_p</v>
      </c>
      <c r="B642">
        <v>0</v>
      </c>
      <c r="C642" t="s">
        <v>5</v>
      </c>
    </row>
    <row r="643" spans="1:6" x14ac:dyDescent="0.25">
      <c r="A643" t="str" cm="1">
        <f t="array" aca="1" ref="A643" ca="1">"a_SL_3_" &amp; INDIRECT("F" &amp; ROW(C643) - 16) &amp; "_p"</f>
        <v>a_SL_3_5_2_p</v>
      </c>
      <c r="B643">
        <v>2</v>
      </c>
      <c r="C643" t="s">
        <v>6</v>
      </c>
    </row>
    <row r="644" spans="1:6" x14ac:dyDescent="0.25">
      <c r="A644" s="5" t="s">
        <v>95</v>
      </c>
    </row>
    <row r="645" spans="1:6" x14ac:dyDescent="0.25">
      <c r="A645" t="str" cm="1">
        <f t="array" aca="1" ref="A645" ca="1">"a_DRO_1_" &amp; INDIRECT("F" &amp; ROW(C645) - 18) &amp; "_p"</f>
        <v>a_DRO_1_5_2_p</v>
      </c>
      <c r="B645">
        <v>0</v>
      </c>
      <c r="C645" t="s">
        <v>4</v>
      </c>
    </row>
    <row r="646" spans="1:6" x14ac:dyDescent="0.25">
      <c r="A646" t="str" cm="1">
        <f t="array" aca="1" ref="A646" ca="1">"a_DRO_2_" &amp; INDIRECT("F" &amp; ROW(C646) - 19) &amp; "_p"</f>
        <v>a_DRO_2_5_2_p</v>
      </c>
      <c r="B646">
        <v>0</v>
      </c>
      <c r="C646" t="s">
        <v>5</v>
      </c>
    </row>
    <row r="647" spans="1:6" x14ac:dyDescent="0.25">
      <c r="A647" t="str" cm="1">
        <f t="array" aca="1" ref="A647" ca="1">"a_DRO_3_" &amp; INDIRECT("F" &amp; ROW(C647) - 20) &amp; "_p"</f>
        <v>a_DRO_3_5_2_p</v>
      </c>
      <c r="B647">
        <v>2</v>
      </c>
      <c r="C647" t="s">
        <v>6</v>
      </c>
    </row>
    <row r="648" spans="1:6" x14ac:dyDescent="0.25">
      <c r="A648" s="5" t="s">
        <v>96</v>
      </c>
    </row>
    <row r="649" spans="1:6" x14ac:dyDescent="0.25">
      <c r="A649" t="str" cm="1">
        <f t="array" aca="1" ref="A649" ca="1">"a_CYC_1_" &amp; INDIRECT("F" &amp; ROW(C649) - 22) &amp; "_p"</f>
        <v>a_CYC_1_5_2_p</v>
      </c>
      <c r="B649">
        <v>0.1</v>
      </c>
      <c r="C649" t="s">
        <v>4</v>
      </c>
    </row>
    <row r="650" spans="1:6" x14ac:dyDescent="0.25">
      <c r="A650" t="str" cm="1">
        <f t="array" aca="1" ref="A650" ca="1">"a_CYC_2_" &amp; INDIRECT("F" &amp; ROW(C650) - 23) &amp; "_p"</f>
        <v>a_CYC_2_5_2_p</v>
      </c>
      <c r="B650">
        <v>0</v>
      </c>
      <c r="C650" t="s">
        <v>5</v>
      </c>
    </row>
    <row r="651" spans="1:6" x14ac:dyDescent="0.25">
      <c r="A651" t="str" cm="1">
        <f t="array" aca="1" ref="A651" ca="1">"a_CYC_3_" &amp; INDIRECT("F" &amp; ROW(C651) - 24) &amp; "_p"</f>
        <v>a_CYC_3_5_2_p</v>
      </c>
      <c r="B651">
        <v>2</v>
      </c>
      <c r="C651" t="s">
        <v>6</v>
      </c>
    </row>
    <row r="652" spans="1:6" x14ac:dyDescent="0.25">
      <c r="A652" s="31" t="s">
        <v>129</v>
      </c>
      <c r="B652" s="31"/>
      <c r="C652" s="31"/>
      <c r="D652" s="25">
        <v>5</v>
      </c>
      <c r="E652" s="25">
        <v>3</v>
      </c>
      <c r="F652" s="25" t="s">
        <v>184</v>
      </c>
    </row>
    <row r="653" spans="1:6" x14ac:dyDescent="0.25">
      <c r="A653" s="5" t="s">
        <v>3</v>
      </c>
    </row>
    <row r="654" spans="1:6" x14ac:dyDescent="0.25">
      <c r="A654" t="str" cm="1">
        <f t="array" aca="1" ref="A654" ca="1">"a_T_1_" &amp; INDIRECT("F" &amp; ROW(C654)-2) &amp; "_p"</f>
        <v>a_T_1_5_3_p</v>
      </c>
      <c r="B654">
        <v>0</v>
      </c>
      <c r="C654" t="s">
        <v>4</v>
      </c>
    </row>
    <row r="655" spans="1:6" x14ac:dyDescent="0.25">
      <c r="A655" t="str" cm="1">
        <f t="array" aca="1" ref="A655" ca="1">"a_T_2_" &amp; INDIRECT("F" &amp; ROW(C655)-3) &amp; "_p"</f>
        <v>a_T_2_5_3_p</v>
      </c>
      <c r="B655">
        <v>0</v>
      </c>
      <c r="C655" t="s">
        <v>5</v>
      </c>
    </row>
    <row r="656" spans="1:6" x14ac:dyDescent="0.25">
      <c r="A656" t="str" cm="1">
        <f t="array" aca="1" ref="A656" ca="1">"a_T_3_" &amp; INDIRECT("F" &amp; ROW(C656)-4) &amp; "_p"</f>
        <v>a_T_3_5_3_p</v>
      </c>
      <c r="B656">
        <v>2</v>
      </c>
      <c r="C656" t="s">
        <v>6</v>
      </c>
    </row>
    <row r="657" spans="1:8" x14ac:dyDescent="0.25">
      <c r="A657" s="5" t="s">
        <v>8</v>
      </c>
    </row>
    <row r="658" spans="1:8" x14ac:dyDescent="0.25">
      <c r="A658" t="str" cm="1">
        <f t="array" aca="1" ref="A658" ca="1">"a_WS_1_" &amp; INDIRECT("F" &amp; ROW(C658)-6) &amp; "_p"</f>
        <v>a_WS_1_5_3_p</v>
      </c>
      <c r="B658">
        <v>0</v>
      </c>
      <c r="C658" t="s">
        <v>4</v>
      </c>
    </row>
    <row r="659" spans="1:8" x14ac:dyDescent="0.25">
      <c r="A659" t="str" cm="1">
        <f t="array" aca="1" ref="A659" ca="1">"a_WS_2_" &amp; INDIRECT("F" &amp; ROW(C659)-7) &amp; "_p"</f>
        <v>a_WS_2_5_3_p</v>
      </c>
      <c r="B659">
        <v>0</v>
      </c>
      <c r="C659" t="s">
        <v>5</v>
      </c>
    </row>
    <row r="660" spans="1:8" x14ac:dyDescent="0.25">
      <c r="A660" t="str" cm="1">
        <f t="array" aca="1" ref="A660" ca="1">"a_WS_3_" &amp; INDIRECT("F" &amp; ROW(C660)-8) &amp; "_p"</f>
        <v>a_WS_3_5_3_p</v>
      </c>
      <c r="B660">
        <v>2</v>
      </c>
      <c r="C660" t="s">
        <v>6</v>
      </c>
    </row>
    <row r="661" spans="1:8" x14ac:dyDescent="0.25">
      <c r="A661" s="5" t="s">
        <v>7</v>
      </c>
      <c r="G661" s="5"/>
      <c r="H661" s="5"/>
    </row>
    <row r="662" spans="1:8" x14ac:dyDescent="0.25">
      <c r="A662" t="str" cm="1">
        <f t="array" aca="1" ref="A662" ca="1">"a_PREC_1_" &amp; INDIRECT("F" &amp; ROW(C662) - 10) &amp; "_p"</f>
        <v>a_PREC_1_5_3_p</v>
      </c>
      <c r="B662">
        <v>0</v>
      </c>
      <c r="C662" t="s">
        <v>4</v>
      </c>
      <c r="F662" s="5"/>
    </row>
    <row r="663" spans="1:8" x14ac:dyDescent="0.25">
      <c r="A663" t="str" cm="1">
        <f t="array" aca="1" ref="A663" ca="1">"a_PREC_2_" &amp; INDIRECT("F" &amp; ROW(C663) - 11) &amp; "_p"</f>
        <v>a_PREC_2_5_3_p</v>
      </c>
      <c r="B663">
        <v>0</v>
      </c>
      <c r="C663" t="s">
        <v>5</v>
      </c>
    </row>
    <row r="664" spans="1:8" x14ac:dyDescent="0.25">
      <c r="A664" t="str" cm="1">
        <f t="array" aca="1" ref="A664" ca="1">"a_PREC_3_" &amp; INDIRECT("F" &amp; ROW(C664) - 12) &amp; "_p"</f>
        <v>a_PREC_3_5_3_p</v>
      </c>
      <c r="B664">
        <v>2</v>
      </c>
      <c r="C664" t="s">
        <v>6</v>
      </c>
    </row>
    <row r="665" spans="1:8" x14ac:dyDescent="0.25">
      <c r="A665" s="5" t="s">
        <v>9</v>
      </c>
      <c r="G665" s="5"/>
      <c r="H665" s="5"/>
    </row>
    <row r="666" spans="1:8" x14ac:dyDescent="0.25">
      <c r="A666" t="str" cm="1">
        <f t="array" aca="1" ref="A666" ca="1">"a_SL_1_" &amp; INDIRECT("F" &amp; ROW(C666) - 14) &amp; "_p"</f>
        <v>a_SL_1_5_3_p</v>
      </c>
      <c r="B666">
        <v>0</v>
      </c>
      <c r="C666" t="s">
        <v>4</v>
      </c>
      <c r="F666" s="5"/>
    </row>
    <row r="667" spans="1:8" x14ac:dyDescent="0.25">
      <c r="A667" t="str" cm="1">
        <f t="array" aca="1" ref="A667" ca="1">"a_SL_2_" &amp; INDIRECT("F" &amp; ROW(C667) - 15) &amp; "_p"</f>
        <v>a_SL_2_5_3_p</v>
      </c>
      <c r="B667">
        <v>0</v>
      </c>
      <c r="C667" t="s">
        <v>5</v>
      </c>
    </row>
    <row r="668" spans="1:8" x14ac:dyDescent="0.25">
      <c r="A668" t="str" cm="1">
        <f t="array" aca="1" ref="A668" ca="1">"a_SL_3_" &amp; INDIRECT("F" &amp; ROW(C668) - 16) &amp; "_p"</f>
        <v>a_SL_3_5_3_p</v>
      </c>
      <c r="B668">
        <v>2</v>
      </c>
      <c r="C668" t="s">
        <v>6</v>
      </c>
    </row>
    <row r="669" spans="1:8" x14ac:dyDescent="0.25">
      <c r="A669" s="5" t="s">
        <v>95</v>
      </c>
    </row>
    <row r="670" spans="1:8" x14ac:dyDescent="0.25">
      <c r="A670" t="str" cm="1">
        <f t="array" aca="1" ref="A670" ca="1">"a_DRO_1_" &amp; INDIRECT("F" &amp; ROW(C670) - 18) &amp; "_p"</f>
        <v>a_DRO_1_5_3_p</v>
      </c>
      <c r="B670">
        <v>0</v>
      </c>
      <c r="C670" t="s">
        <v>4</v>
      </c>
    </row>
    <row r="671" spans="1:8" x14ac:dyDescent="0.25">
      <c r="A671" t="str" cm="1">
        <f t="array" aca="1" ref="A671" ca="1">"a_DRO_2_" &amp; INDIRECT("F" &amp; ROW(C671) - 19) &amp; "_p"</f>
        <v>a_DRO_2_5_3_p</v>
      </c>
      <c r="B671">
        <v>0</v>
      </c>
      <c r="C671" t="s">
        <v>5</v>
      </c>
    </row>
    <row r="672" spans="1:8" x14ac:dyDescent="0.25">
      <c r="A672" t="str" cm="1">
        <f t="array" aca="1" ref="A672" ca="1">"a_DRO_3_" &amp; INDIRECT("F" &amp; ROW(C672) - 20) &amp; "_p"</f>
        <v>a_DRO_3_5_3_p</v>
      </c>
      <c r="B672">
        <v>2</v>
      </c>
      <c r="C672" t="s">
        <v>6</v>
      </c>
    </row>
    <row r="673" spans="1:8" x14ac:dyDescent="0.25">
      <c r="A673" s="5" t="s">
        <v>96</v>
      </c>
    </row>
    <row r="674" spans="1:8" x14ac:dyDescent="0.25">
      <c r="A674" t="str" cm="1">
        <f t="array" aca="1" ref="A674" ca="1">"a_CYC_1_" &amp; INDIRECT("F" &amp; ROW(C674) - 22) &amp; "_p"</f>
        <v>a_CYC_1_5_3_p</v>
      </c>
      <c r="B674">
        <v>0.1</v>
      </c>
      <c r="C674" t="s">
        <v>4</v>
      </c>
    </row>
    <row r="675" spans="1:8" x14ac:dyDescent="0.25">
      <c r="A675" t="str" cm="1">
        <f t="array" aca="1" ref="A675" ca="1">"a_CYC_2_" &amp; INDIRECT("F" &amp; ROW(C675) - 23) &amp; "_p"</f>
        <v>a_CYC_2_5_3_p</v>
      </c>
      <c r="B675">
        <v>0</v>
      </c>
      <c r="C675" t="s">
        <v>5</v>
      </c>
    </row>
    <row r="676" spans="1:8" x14ac:dyDescent="0.25">
      <c r="A676" t="str" cm="1">
        <f t="array" aca="1" ref="A676" ca="1">"a_CYC_3_" &amp; INDIRECT("F" &amp; ROW(C676) - 24) &amp; "_p"</f>
        <v>a_CYC_3_5_3_p</v>
      </c>
      <c r="B676">
        <v>2</v>
      </c>
      <c r="C676" t="s">
        <v>6</v>
      </c>
    </row>
    <row r="677" spans="1:8" x14ac:dyDescent="0.25">
      <c r="A677" s="31" t="s">
        <v>130</v>
      </c>
      <c r="B677" s="31"/>
      <c r="C677" s="31"/>
      <c r="D677" s="25">
        <v>5</v>
      </c>
      <c r="E677" s="25">
        <v>4</v>
      </c>
      <c r="F677" s="25" t="s">
        <v>183</v>
      </c>
    </row>
    <row r="678" spans="1:8" x14ac:dyDescent="0.25">
      <c r="A678" s="5" t="s">
        <v>3</v>
      </c>
    </row>
    <row r="679" spans="1:8" x14ac:dyDescent="0.25">
      <c r="A679" t="str" cm="1">
        <f t="array" aca="1" ref="A679" ca="1">"a_T_1_" &amp; INDIRECT("F" &amp; ROW(C679)-2) &amp; "_p"</f>
        <v>a_T_1_5_4_p</v>
      </c>
      <c r="B679">
        <v>0</v>
      </c>
      <c r="C679" t="s">
        <v>4</v>
      </c>
    </row>
    <row r="680" spans="1:8" x14ac:dyDescent="0.25">
      <c r="A680" t="str" cm="1">
        <f t="array" aca="1" ref="A680" ca="1">"a_T_2_" &amp; INDIRECT("F" &amp; ROW(C680)-3) &amp; "_p"</f>
        <v>a_T_2_5_4_p</v>
      </c>
      <c r="B680">
        <v>0</v>
      </c>
      <c r="C680" t="s">
        <v>5</v>
      </c>
    </row>
    <row r="681" spans="1:8" x14ac:dyDescent="0.25">
      <c r="A681" t="str" cm="1">
        <f t="array" aca="1" ref="A681" ca="1">"a_T_3_" &amp; INDIRECT("F" &amp; ROW(C681)-4) &amp; "_p"</f>
        <v>a_T_3_5_4_p</v>
      </c>
      <c r="B681">
        <v>2</v>
      </c>
      <c r="C681" t="s">
        <v>6</v>
      </c>
    </row>
    <row r="682" spans="1:8" x14ac:dyDescent="0.25">
      <c r="A682" s="5" t="s">
        <v>8</v>
      </c>
    </row>
    <row r="683" spans="1:8" x14ac:dyDescent="0.25">
      <c r="A683" t="str" cm="1">
        <f t="array" aca="1" ref="A683" ca="1">"a_WS_1_" &amp; INDIRECT("F" &amp; ROW(C683)-6) &amp; "_p"</f>
        <v>a_WS_1_5_4_p</v>
      </c>
      <c r="B683">
        <v>0</v>
      </c>
      <c r="C683" t="s">
        <v>4</v>
      </c>
    </row>
    <row r="684" spans="1:8" x14ac:dyDescent="0.25">
      <c r="A684" t="str" cm="1">
        <f t="array" aca="1" ref="A684" ca="1">"a_WS_2_" &amp; INDIRECT("F" &amp; ROW(C684)-7) &amp; "_p"</f>
        <v>a_WS_2_5_4_p</v>
      </c>
      <c r="B684">
        <v>0</v>
      </c>
      <c r="C684" t="s">
        <v>5</v>
      </c>
    </row>
    <row r="685" spans="1:8" x14ac:dyDescent="0.25">
      <c r="A685" t="str" cm="1">
        <f t="array" aca="1" ref="A685" ca="1">"a_WS_3_" &amp; INDIRECT("F" &amp; ROW(C685)-8) &amp; "_p"</f>
        <v>a_WS_3_5_4_p</v>
      </c>
      <c r="B685">
        <v>2</v>
      </c>
      <c r="C685" t="s">
        <v>6</v>
      </c>
    </row>
    <row r="686" spans="1:8" x14ac:dyDescent="0.25">
      <c r="A686" s="5" t="s">
        <v>7</v>
      </c>
      <c r="G686" s="5"/>
      <c r="H686" s="5"/>
    </row>
    <row r="687" spans="1:8" x14ac:dyDescent="0.25">
      <c r="A687" t="str" cm="1">
        <f t="array" aca="1" ref="A687" ca="1">"a_PREC_1_" &amp; INDIRECT("F" &amp; ROW(C687) - 10) &amp; "_p"</f>
        <v>a_PREC_1_5_4_p</v>
      </c>
      <c r="B687">
        <v>0</v>
      </c>
      <c r="C687" t="s">
        <v>4</v>
      </c>
      <c r="F687" s="5"/>
    </row>
    <row r="688" spans="1:8" x14ac:dyDescent="0.25">
      <c r="A688" t="str" cm="1">
        <f t="array" aca="1" ref="A688" ca="1">"a_PREC_2_" &amp; INDIRECT("F" &amp; ROW(C688) - 11) &amp; "_p"</f>
        <v>a_PREC_2_5_4_p</v>
      </c>
      <c r="B688">
        <v>0</v>
      </c>
      <c r="C688" t="s">
        <v>5</v>
      </c>
    </row>
    <row r="689" spans="1:8" x14ac:dyDescent="0.25">
      <c r="A689" t="str" cm="1">
        <f t="array" aca="1" ref="A689" ca="1">"a_PREC_3_" &amp; INDIRECT("F" &amp; ROW(C689) - 12) &amp; "_p"</f>
        <v>a_PREC_3_5_4_p</v>
      </c>
      <c r="B689">
        <v>2</v>
      </c>
      <c r="C689" t="s">
        <v>6</v>
      </c>
    </row>
    <row r="690" spans="1:8" x14ac:dyDescent="0.25">
      <c r="A690" s="5" t="s">
        <v>9</v>
      </c>
      <c r="G690" s="5"/>
      <c r="H690" s="5"/>
    </row>
    <row r="691" spans="1:8" x14ac:dyDescent="0.25">
      <c r="A691" t="str" cm="1">
        <f t="array" aca="1" ref="A691" ca="1">"a_SL_1_" &amp; INDIRECT("F" &amp; ROW(C691) - 14) &amp; "_p"</f>
        <v>a_SL_1_5_4_p</v>
      </c>
      <c r="B691">
        <v>0</v>
      </c>
      <c r="C691" t="s">
        <v>4</v>
      </c>
      <c r="F691" s="5"/>
    </row>
    <row r="692" spans="1:8" x14ac:dyDescent="0.25">
      <c r="A692" t="str" cm="1">
        <f t="array" aca="1" ref="A692" ca="1">"a_SL_2_" &amp; INDIRECT("F" &amp; ROW(C692) - 15) &amp; "_p"</f>
        <v>a_SL_2_5_4_p</v>
      </c>
      <c r="B692">
        <v>0</v>
      </c>
      <c r="C692" t="s">
        <v>5</v>
      </c>
    </row>
    <row r="693" spans="1:8" x14ac:dyDescent="0.25">
      <c r="A693" t="str" cm="1">
        <f t="array" aca="1" ref="A693" ca="1">"a_SL_3_" &amp; INDIRECT("F" &amp; ROW(C693) - 16) &amp; "_p"</f>
        <v>a_SL_3_5_4_p</v>
      </c>
      <c r="B693">
        <v>2</v>
      </c>
      <c r="C693" t="s">
        <v>6</v>
      </c>
    </row>
    <row r="694" spans="1:8" x14ac:dyDescent="0.25">
      <c r="A694" s="5" t="s">
        <v>95</v>
      </c>
    </row>
    <row r="695" spans="1:8" x14ac:dyDescent="0.25">
      <c r="A695" t="str" cm="1">
        <f t="array" aca="1" ref="A695" ca="1">"a_DRO_1_" &amp; INDIRECT("F" &amp; ROW(C695) - 18) &amp; "_p"</f>
        <v>a_DRO_1_5_4_p</v>
      </c>
      <c r="B695">
        <v>0</v>
      </c>
      <c r="C695" t="s">
        <v>4</v>
      </c>
    </row>
    <row r="696" spans="1:8" x14ac:dyDescent="0.25">
      <c r="A696" t="str" cm="1">
        <f t="array" aca="1" ref="A696" ca="1">"a_DRO_2_" &amp; INDIRECT("F" &amp; ROW(C696) - 19) &amp; "_p"</f>
        <v>a_DRO_2_5_4_p</v>
      </c>
      <c r="B696">
        <v>0</v>
      </c>
      <c r="C696" t="s">
        <v>5</v>
      </c>
    </row>
    <row r="697" spans="1:8" x14ac:dyDescent="0.25">
      <c r="A697" t="str" cm="1">
        <f t="array" aca="1" ref="A697" ca="1">"a_DRO_3_" &amp; INDIRECT("F" &amp; ROW(C697) - 20) &amp; "_p"</f>
        <v>a_DRO_3_5_4_p</v>
      </c>
      <c r="B697">
        <v>2</v>
      </c>
      <c r="C697" t="s">
        <v>6</v>
      </c>
    </row>
    <row r="698" spans="1:8" x14ac:dyDescent="0.25">
      <c r="A698" s="5" t="s">
        <v>96</v>
      </c>
    </row>
    <row r="699" spans="1:8" x14ac:dyDescent="0.25">
      <c r="A699" t="str" cm="1">
        <f t="array" aca="1" ref="A699" ca="1">"a_CYC_1_" &amp; INDIRECT("F" &amp; ROW(C699) - 22) &amp; "_p"</f>
        <v>a_CYC_1_5_4_p</v>
      </c>
      <c r="B699">
        <v>0.1</v>
      </c>
      <c r="C699" t="s">
        <v>4</v>
      </c>
    </row>
    <row r="700" spans="1:8" x14ac:dyDescent="0.25">
      <c r="A700" t="str" cm="1">
        <f t="array" aca="1" ref="A700" ca="1">"a_CYC_2_" &amp; INDIRECT("F" &amp; ROW(C700) - 23) &amp; "_p"</f>
        <v>a_CYC_2_5_4_p</v>
      </c>
      <c r="B700">
        <v>0</v>
      </c>
      <c r="C700" t="s">
        <v>5</v>
      </c>
    </row>
    <row r="701" spans="1:8" x14ac:dyDescent="0.25">
      <c r="A701" t="str" cm="1">
        <f t="array" aca="1" ref="A701" ca="1">"a_CYC_3_" &amp; INDIRECT("F" &amp; ROW(C701) - 24) &amp; "_p"</f>
        <v>a_CYC_3_5_4_p</v>
      </c>
      <c r="B701">
        <v>2</v>
      </c>
      <c r="C701" t="s">
        <v>6</v>
      </c>
    </row>
    <row r="702" spans="1:8" x14ac:dyDescent="0.25">
      <c r="A702" s="31" t="s">
        <v>131</v>
      </c>
      <c r="B702" s="31"/>
      <c r="C702" s="31"/>
      <c r="D702" s="25">
        <v>5</v>
      </c>
      <c r="E702" s="25">
        <v>5</v>
      </c>
      <c r="F702" s="25" t="s">
        <v>182</v>
      </c>
    </row>
    <row r="703" spans="1:8" x14ac:dyDescent="0.25">
      <c r="A703" s="5" t="s">
        <v>3</v>
      </c>
    </row>
    <row r="704" spans="1:8" x14ac:dyDescent="0.25">
      <c r="A704" t="str" cm="1">
        <f t="array" aca="1" ref="A704" ca="1">"a_T_1_" &amp; INDIRECT("F" &amp; ROW(C704)-2) &amp; "_p"</f>
        <v>a_T_1_5_5_p</v>
      </c>
      <c r="B704">
        <v>0</v>
      </c>
      <c r="C704" t="s">
        <v>4</v>
      </c>
    </row>
    <row r="705" spans="1:8" x14ac:dyDescent="0.25">
      <c r="A705" t="str" cm="1">
        <f t="array" aca="1" ref="A705" ca="1">"a_T_2_" &amp; INDIRECT("F" &amp; ROW(C705)-3) &amp; "_p"</f>
        <v>a_T_2_5_5_p</v>
      </c>
      <c r="B705">
        <v>0</v>
      </c>
      <c r="C705" t="s">
        <v>5</v>
      </c>
    </row>
    <row r="706" spans="1:8" x14ac:dyDescent="0.25">
      <c r="A706" t="str" cm="1">
        <f t="array" aca="1" ref="A706" ca="1">"a_T_3_" &amp; INDIRECT("F" &amp; ROW(C706)-4) &amp; "_p"</f>
        <v>a_T_3_5_5_p</v>
      </c>
      <c r="B706">
        <v>2</v>
      </c>
      <c r="C706" t="s">
        <v>6</v>
      </c>
    </row>
    <row r="707" spans="1:8" x14ac:dyDescent="0.25">
      <c r="A707" s="5" t="s">
        <v>8</v>
      </c>
    </row>
    <row r="708" spans="1:8" x14ac:dyDescent="0.25">
      <c r="A708" t="str" cm="1">
        <f t="array" aca="1" ref="A708" ca="1">"a_WS_1_" &amp; INDIRECT("F" &amp; ROW(C708)-6) &amp; "_p"</f>
        <v>a_WS_1_5_5_p</v>
      </c>
      <c r="B708">
        <v>0</v>
      </c>
      <c r="C708" t="s">
        <v>4</v>
      </c>
    </row>
    <row r="709" spans="1:8" x14ac:dyDescent="0.25">
      <c r="A709" t="str" cm="1">
        <f t="array" aca="1" ref="A709" ca="1">"a_WS_2_" &amp; INDIRECT("F" &amp; ROW(C709)-7) &amp; "_p"</f>
        <v>a_WS_2_5_5_p</v>
      </c>
      <c r="B709">
        <v>0</v>
      </c>
      <c r="C709" t="s">
        <v>5</v>
      </c>
    </row>
    <row r="710" spans="1:8" x14ac:dyDescent="0.25">
      <c r="A710" t="str" cm="1">
        <f t="array" aca="1" ref="A710" ca="1">"a_WS_3_" &amp; INDIRECT("F" &amp; ROW(C710)-8) &amp; "_p"</f>
        <v>a_WS_3_5_5_p</v>
      </c>
      <c r="B710">
        <v>2</v>
      </c>
      <c r="C710" t="s">
        <v>6</v>
      </c>
    </row>
    <row r="711" spans="1:8" x14ac:dyDescent="0.25">
      <c r="A711" s="5" t="s">
        <v>7</v>
      </c>
      <c r="G711" s="5"/>
      <c r="H711" s="5"/>
    </row>
    <row r="712" spans="1:8" x14ac:dyDescent="0.25">
      <c r="A712" t="str" cm="1">
        <f t="array" aca="1" ref="A712" ca="1">"a_PREC_1_" &amp; INDIRECT("F" &amp; ROW(C712) - 10) &amp; "_p"</f>
        <v>a_PREC_1_5_5_p</v>
      </c>
      <c r="B712">
        <v>0</v>
      </c>
      <c r="C712" t="s">
        <v>4</v>
      </c>
      <c r="F712" s="5"/>
    </row>
    <row r="713" spans="1:8" x14ac:dyDescent="0.25">
      <c r="A713" t="str" cm="1">
        <f t="array" aca="1" ref="A713" ca="1">"a_PREC_2_" &amp; INDIRECT("F" &amp; ROW(C713) - 11) &amp; "_p"</f>
        <v>a_PREC_2_5_5_p</v>
      </c>
      <c r="B713">
        <v>0</v>
      </c>
      <c r="C713" t="s">
        <v>5</v>
      </c>
    </row>
    <row r="714" spans="1:8" x14ac:dyDescent="0.25">
      <c r="A714" t="str" cm="1">
        <f t="array" aca="1" ref="A714" ca="1">"a_PREC_3_" &amp; INDIRECT("F" &amp; ROW(C714) - 12) &amp; "_p"</f>
        <v>a_PREC_3_5_5_p</v>
      </c>
      <c r="B714">
        <v>2</v>
      </c>
      <c r="C714" t="s">
        <v>6</v>
      </c>
    </row>
    <row r="715" spans="1:8" x14ac:dyDescent="0.25">
      <c r="A715" s="5" t="s">
        <v>9</v>
      </c>
      <c r="G715" s="5"/>
      <c r="H715" s="5"/>
    </row>
    <row r="716" spans="1:8" x14ac:dyDescent="0.25">
      <c r="A716" t="str" cm="1">
        <f t="array" aca="1" ref="A716" ca="1">"a_SL_1_" &amp; INDIRECT("F" &amp; ROW(C716) - 14) &amp; "_p"</f>
        <v>a_SL_1_5_5_p</v>
      </c>
      <c r="B716">
        <v>0</v>
      </c>
      <c r="C716" t="s">
        <v>4</v>
      </c>
      <c r="F716" s="5"/>
    </row>
    <row r="717" spans="1:8" x14ac:dyDescent="0.25">
      <c r="A717" t="str" cm="1">
        <f t="array" aca="1" ref="A717" ca="1">"a_SL_2_" &amp; INDIRECT("F" &amp; ROW(C717) - 15) &amp; "_p"</f>
        <v>a_SL_2_5_5_p</v>
      </c>
      <c r="B717">
        <v>0</v>
      </c>
      <c r="C717" t="s">
        <v>5</v>
      </c>
    </row>
    <row r="718" spans="1:8" x14ac:dyDescent="0.25">
      <c r="A718" t="str" cm="1">
        <f t="array" aca="1" ref="A718" ca="1">"a_SL_3_" &amp; INDIRECT("F" &amp; ROW(C718) - 16) &amp; "_p"</f>
        <v>a_SL_3_5_5_p</v>
      </c>
      <c r="B718">
        <v>2</v>
      </c>
      <c r="C718" t="s">
        <v>6</v>
      </c>
    </row>
    <row r="719" spans="1:8" x14ac:dyDescent="0.25">
      <c r="A719" s="5" t="s">
        <v>95</v>
      </c>
    </row>
    <row r="720" spans="1:8" x14ac:dyDescent="0.25">
      <c r="A720" t="str" cm="1">
        <f t="array" aca="1" ref="A720" ca="1">"a_DRO_1_" &amp; INDIRECT("F" &amp; ROW(C720) - 18) &amp; "_p"</f>
        <v>a_DRO_1_5_5_p</v>
      </c>
      <c r="B720">
        <v>0</v>
      </c>
      <c r="C720" t="s">
        <v>4</v>
      </c>
    </row>
    <row r="721" spans="1:8" x14ac:dyDescent="0.25">
      <c r="A721" t="str" cm="1">
        <f t="array" aca="1" ref="A721" ca="1">"a_DRO_2_" &amp; INDIRECT("F" &amp; ROW(C721) - 19) &amp; "_p"</f>
        <v>a_DRO_2_5_5_p</v>
      </c>
      <c r="B721">
        <v>0</v>
      </c>
      <c r="C721" t="s">
        <v>5</v>
      </c>
    </row>
    <row r="722" spans="1:8" x14ac:dyDescent="0.25">
      <c r="A722" t="str" cm="1">
        <f t="array" aca="1" ref="A722" ca="1">"a_DRO_3_" &amp; INDIRECT("F" &amp; ROW(C722) - 20) &amp; "_p"</f>
        <v>a_DRO_3_5_5_p</v>
      </c>
      <c r="B722">
        <v>2</v>
      </c>
      <c r="C722" t="s">
        <v>6</v>
      </c>
    </row>
    <row r="723" spans="1:8" x14ac:dyDescent="0.25">
      <c r="A723" s="5" t="s">
        <v>96</v>
      </c>
    </row>
    <row r="724" spans="1:8" x14ac:dyDescent="0.25">
      <c r="A724" t="str" cm="1">
        <f t="array" aca="1" ref="A724" ca="1">"a_CYC_1_" &amp; INDIRECT("F" &amp; ROW(C724) - 22) &amp; "_p"</f>
        <v>a_CYC_1_5_5_p</v>
      </c>
      <c r="B724">
        <v>0.1</v>
      </c>
      <c r="C724" t="s">
        <v>4</v>
      </c>
    </row>
    <row r="725" spans="1:8" x14ac:dyDescent="0.25">
      <c r="A725" t="str" cm="1">
        <f t="array" aca="1" ref="A725" ca="1">"a_CYC_2_" &amp; INDIRECT("F" &amp; ROW(C725) - 23) &amp; "_p"</f>
        <v>a_CYC_2_5_5_p</v>
      </c>
      <c r="B725">
        <v>0</v>
      </c>
      <c r="C725" t="s">
        <v>5</v>
      </c>
    </row>
    <row r="726" spans="1:8" x14ac:dyDescent="0.25">
      <c r="A726" t="str" cm="1">
        <f t="array" aca="1" ref="A726" ca="1">"a_CYC_3_" &amp; INDIRECT("F" &amp; ROW(C726) - 24) &amp; "_p"</f>
        <v>a_CYC_3_5_5_p</v>
      </c>
      <c r="B726">
        <v>2</v>
      </c>
      <c r="C726" t="s">
        <v>6</v>
      </c>
    </row>
    <row r="727" spans="1:8" x14ac:dyDescent="0.25">
      <c r="A727" s="31" t="s">
        <v>132</v>
      </c>
      <c r="B727" s="31"/>
      <c r="C727" s="31"/>
      <c r="D727" s="25">
        <v>5</v>
      </c>
      <c r="E727" s="25">
        <v>6</v>
      </c>
      <c r="F727" s="25" t="s">
        <v>181</v>
      </c>
    </row>
    <row r="728" spans="1:8" x14ac:dyDescent="0.25">
      <c r="A728" s="5" t="s">
        <v>3</v>
      </c>
    </row>
    <row r="729" spans="1:8" x14ac:dyDescent="0.25">
      <c r="A729" t="str" cm="1">
        <f t="array" aca="1" ref="A729" ca="1">"a_T_1_" &amp; INDIRECT("F" &amp; ROW(C729)-2) &amp; "_p"</f>
        <v>a_T_1_5_6_p</v>
      </c>
      <c r="B729">
        <v>0</v>
      </c>
      <c r="C729" t="s">
        <v>4</v>
      </c>
    </row>
    <row r="730" spans="1:8" x14ac:dyDescent="0.25">
      <c r="A730" t="str" cm="1">
        <f t="array" aca="1" ref="A730" ca="1">"a_T_2_" &amp; INDIRECT("F" &amp; ROW(C730)-3) &amp; "_p"</f>
        <v>a_T_2_5_6_p</v>
      </c>
      <c r="B730">
        <v>0</v>
      </c>
      <c r="C730" t="s">
        <v>5</v>
      </c>
    </row>
    <row r="731" spans="1:8" x14ac:dyDescent="0.25">
      <c r="A731" t="str" cm="1">
        <f t="array" aca="1" ref="A731" ca="1">"a_T_3_" &amp; INDIRECT("F" &amp; ROW(C731)-4) &amp; "_p"</f>
        <v>a_T_3_5_6_p</v>
      </c>
      <c r="B731">
        <v>2</v>
      </c>
      <c r="C731" t="s">
        <v>6</v>
      </c>
    </row>
    <row r="732" spans="1:8" x14ac:dyDescent="0.25">
      <c r="A732" s="5" t="s">
        <v>8</v>
      </c>
    </row>
    <row r="733" spans="1:8" x14ac:dyDescent="0.25">
      <c r="A733" t="str" cm="1">
        <f t="array" aca="1" ref="A733" ca="1">"a_WS_1_" &amp; INDIRECT("F" &amp; ROW(C733)-6) &amp; "_p"</f>
        <v>a_WS_1_5_6_p</v>
      </c>
      <c r="B733">
        <v>0</v>
      </c>
      <c r="C733" t="s">
        <v>4</v>
      </c>
    </row>
    <row r="734" spans="1:8" x14ac:dyDescent="0.25">
      <c r="A734" t="str" cm="1">
        <f t="array" aca="1" ref="A734" ca="1">"a_WS_2_" &amp; INDIRECT("F" &amp; ROW(C734)-7) &amp; "_p"</f>
        <v>a_WS_2_5_6_p</v>
      </c>
      <c r="B734">
        <v>0</v>
      </c>
      <c r="C734" t="s">
        <v>5</v>
      </c>
    </row>
    <row r="735" spans="1:8" x14ac:dyDescent="0.25">
      <c r="A735" t="str" cm="1">
        <f t="array" aca="1" ref="A735" ca="1">"a_WS_3_" &amp; INDIRECT("F" &amp; ROW(C735)-8) &amp; "_p"</f>
        <v>a_WS_3_5_6_p</v>
      </c>
      <c r="B735">
        <v>2</v>
      </c>
      <c r="C735" t="s">
        <v>6</v>
      </c>
    </row>
    <row r="736" spans="1:8" x14ac:dyDescent="0.25">
      <c r="A736" s="5" t="s">
        <v>7</v>
      </c>
      <c r="G736" s="5"/>
      <c r="H736" s="5"/>
    </row>
    <row r="737" spans="1:8" x14ac:dyDescent="0.25">
      <c r="A737" t="str" cm="1">
        <f t="array" aca="1" ref="A737" ca="1">"a_PREC_1_" &amp; INDIRECT("F" &amp; ROW(C737) - 10) &amp; "_p"</f>
        <v>a_PREC_1_5_6_p</v>
      </c>
      <c r="B737">
        <v>0</v>
      </c>
      <c r="C737" t="s">
        <v>4</v>
      </c>
      <c r="F737" s="5"/>
    </row>
    <row r="738" spans="1:8" x14ac:dyDescent="0.25">
      <c r="A738" t="str" cm="1">
        <f t="array" aca="1" ref="A738" ca="1">"a_PREC_2_" &amp; INDIRECT("F" &amp; ROW(C738) - 11) &amp; "_p"</f>
        <v>a_PREC_2_5_6_p</v>
      </c>
      <c r="B738">
        <v>0</v>
      </c>
      <c r="C738" t="s">
        <v>5</v>
      </c>
    </row>
    <row r="739" spans="1:8" x14ac:dyDescent="0.25">
      <c r="A739" t="str" cm="1">
        <f t="array" aca="1" ref="A739" ca="1">"a_PREC_3_" &amp; INDIRECT("F" &amp; ROW(C739) - 12) &amp; "_p"</f>
        <v>a_PREC_3_5_6_p</v>
      </c>
      <c r="B739">
        <v>2</v>
      </c>
      <c r="C739" t="s">
        <v>6</v>
      </c>
    </row>
    <row r="740" spans="1:8" x14ac:dyDescent="0.25">
      <c r="A740" s="5" t="s">
        <v>9</v>
      </c>
      <c r="G740" s="5"/>
      <c r="H740" s="5"/>
    </row>
    <row r="741" spans="1:8" x14ac:dyDescent="0.25">
      <c r="A741" t="str" cm="1">
        <f t="array" aca="1" ref="A741" ca="1">"a_SL_1_" &amp; INDIRECT("F" &amp; ROW(C741) - 14) &amp; "_p"</f>
        <v>a_SL_1_5_6_p</v>
      </c>
      <c r="B741">
        <v>0</v>
      </c>
      <c r="C741" t="s">
        <v>4</v>
      </c>
      <c r="F741" s="5"/>
    </row>
    <row r="742" spans="1:8" x14ac:dyDescent="0.25">
      <c r="A742" t="str" cm="1">
        <f t="array" aca="1" ref="A742" ca="1">"a_SL_2_" &amp; INDIRECT("F" &amp; ROW(C742) - 15) &amp; "_p"</f>
        <v>a_SL_2_5_6_p</v>
      </c>
      <c r="B742">
        <v>0</v>
      </c>
      <c r="C742" t="s">
        <v>5</v>
      </c>
    </row>
    <row r="743" spans="1:8" x14ac:dyDescent="0.25">
      <c r="A743" t="str" cm="1">
        <f t="array" aca="1" ref="A743" ca="1">"a_SL_3_" &amp; INDIRECT("F" &amp; ROW(C743) - 16) &amp; "_p"</f>
        <v>a_SL_3_5_6_p</v>
      </c>
      <c r="B743">
        <v>2</v>
      </c>
      <c r="C743" t="s">
        <v>6</v>
      </c>
    </row>
    <row r="744" spans="1:8" x14ac:dyDescent="0.25">
      <c r="A744" s="5" t="s">
        <v>95</v>
      </c>
    </row>
    <row r="745" spans="1:8" x14ac:dyDescent="0.25">
      <c r="A745" t="str" cm="1">
        <f t="array" aca="1" ref="A745" ca="1">"a_DRO_1_" &amp; INDIRECT("F" &amp; ROW(C745) - 18) &amp; "_p"</f>
        <v>a_DRO_1_5_6_p</v>
      </c>
      <c r="B745">
        <v>0</v>
      </c>
      <c r="C745" t="s">
        <v>4</v>
      </c>
    </row>
    <row r="746" spans="1:8" x14ac:dyDescent="0.25">
      <c r="A746" t="str" cm="1">
        <f t="array" aca="1" ref="A746" ca="1">"a_DRO_2_" &amp; INDIRECT("F" &amp; ROW(C746) - 19) &amp; "_p"</f>
        <v>a_DRO_2_5_6_p</v>
      </c>
      <c r="B746">
        <v>0</v>
      </c>
      <c r="C746" t="s">
        <v>5</v>
      </c>
    </row>
    <row r="747" spans="1:8" x14ac:dyDescent="0.25">
      <c r="A747" t="str" cm="1">
        <f t="array" aca="1" ref="A747" ca="1">"a_DRO_3_" &amp; INDIRECT("F" &amp; ROW(C747) - 20) &amp; "_p"</f>
        <v>a_DRO_3_5_6_p</v>
      </c>
      <c r="B747">
        <v>2</v>
      </c>
      <c r="C747" t="s">
        <v>6</v>
      </c>
    </row>
    <row r="748" spans="1:8" x14ac:dyDescent="0.25">
      <c r="A748" s="5" t="s">
        <v>96</v>
      </c>
    </row>
    <row r="749" spans="1:8" x14ac:dyDescent="0.25">
      <c r="A749" t="str" cm="1">
        <f t="array" aca="1" ref="A749" ca="1">"a_CYC_1_" &amp; INDIRECT("F" &amp; ROW(C749) - 22) &amp; "_p"</f>
        <v>a_CYC_1_5_6_p</v>
      </c>
      <c r="B749">
        <v>0.1</v>
      </c>
      <c r="C749" t="s">
        <v>4</v>
      </c>
    </row>
    <row r="750" spans="1:8" x14ac:dyDescent="0.25">
      <c r="A750" t="str" cm="1">
        <f t="array" aca="1" ref="A750" ca="1">"a_CYC_2_" &amp; INDIRECT("F" &amp; ROW(C750) - 23) &amp; "_p"</f>
        <v>a_CYC_2_5_6_p</v>
      </c>
      <c r="B750">
        <v>0</v>
      </c>
      <c r="C750" t="s">
        <v>5</v>
      </c>
    </row>
    <row r="751" spans="1:8" x14ac:dyDescent="0.25">
      <c r="A751" t="str" cm="1">
        <f t="array" aca="1" ref="A751" ca="1">"a_CYC_3_" &amp; INDIRECT("F" &amp; ROW(C751) - 24) &amp; "_p"</f>
        <v>a_CYC_3_5_6_p</v>
      </c>
      <c r="B751">
        <v>2</v>
      </c>
      <c r="C751" t="s">
        <v>6</v>
      </c>
    </row>
    <row r="752" spans="1:8" x14ac:dyDescent="0.25">
      <c r="A752" s="31" t="s">
        <v>133</v>
      </c>
      <c r="B752" s="31"/>
      <c r="C752" s="31"/>
      <c r="D752" s="25">
        <v>6</v>
      </c>
      <c r="E752" s="25">
        <v>1</v>
      </c>
      <c r="F752" s="25" t="s">
        <v>180</v>
      </c>
    </row>
    <row r="753" spans="1:8" x14ac:dyDescent="0.25">
      <c r="A753" s="5" t="s">
        <v>3</v>
      </c>
    </row>
    <row r="754" spans="1:8" x14ac:dyDescent="0.25">
      <c r="A754" t="str" cm="1">
        <f t="array" aca="1" ref="A754" ca="1">"a_T_1_" &amp; INDIRECT("F" &amp; ROW(C754)-2) &amp; "_p"</f>
        <v>a_T_1_6_1_p</v>
      </c>
      <c r="B754">
        <v>0</v>
      </c>
      <c r="C754" t="s">
        <v>4</v>
      </c>
    </row>
    <row r="755" spans="1:8" x14ac:dyDescent="0.25">
      <c r="A755" t="str" cm="1">
        <f t="array" aca="1" ref="A755" ca="1">"a_T_2_" &amp; INDIRECT("F" &amp; ROW(C755)-3) &amp; "_p"</f>
        <v>a_T_2_6_1_p</v>
      </c>
      <c r="B755">
        <v>0</v>
      </c>
      <c r="C755" t="s">
        <v>5</v>
      </c>
    </row>
    <row r="756" spans="1:8" x14ac:dyDescent="0.25">
      <c r="A756" t="str" cm="1">
        <f t="array" aca="1" ref="A756" ca="1">"a_T_3_" &amp; INDIRECT("F" &amp; ROW(C756)-4) &amp; "_p"</f>
        <v>a_T_3_6_1_p</v>
      </c>
      <c r="B756">
        <v>2</v>
      </c>
      <c r="C756" t="s">
        <v>6</v>
      </c>
    </row>
    <row r="757" spans="1:8" x14ac:dyDescent="0.25">
      <c r="A757" s="5" t="s">
        <v>8</v>
      </c>
    </row>
    <row r="758" spans="1:8" x14ac:dyDescent="0.25">
      <c r="A758" t="str" cm="1">
        <f t="array" aca="1" ref="A758" ca="1">"a_WS_1_" &amp; INDIRECT("F" &amp; ROW(C758)-6) &amp; "_p"</f>
        <v>a_WS_1_6_1_p</v>
      </c>
      <c r="B758">
        <v>0</v>
      </c>
      <c r="C758" t="s">
        <v>4</v>
      </c>
    </row>
    <row r="759" spans="1:8" x14ac:dyDescent="0.25">
      <c r="A759" t="str" cm="1">
        <f t="array" aca="1" ref="A759" ca="1">"a_WS_2_" &amp; INDIRECT("F" &amp; ROW(C759)-7) &amp; "_p"</f>
        <v>a_WS_2_6_1_p</v>
      </c>
      <c r="B759">
        <v>0</v>
      </c>
      <c r="C759" t="s">
        <v>5</v>
      </c>
    </row>
    <row r="760" spans="1:8" x14ac:dyDescent="0.25">
      <c r="A760" t="str" cm="1">
        <f t="array" aca="1" ref="A760" ca="1">"a_WS_3_" &amp; INDIRECT("F" &amp; ROW(C760)-8) &amp; "_p"</f>
        <v>a_WS_3_6_1_p</v>
      </c>
      <c r="B760">
        <v>2</v>
      </c>
      <c r="C760" t="s">
        <v>6</v>
      </c>
    </row>
    <row r="761" spans="1:8" x14ac:dyDescent="0.25">
      <c r="A761" s="5" t="s">
        <v>7</v>
      </c>
      <c r="G761" s="5"/>
      <c r="H761" s="5"/>
    </row>
    <row r="762" spans="1:8" x14ac:dyDescent="0.25">
      <c r="A762" t="str" cm="1">
        <f t="array" aca="1" ref="A762" ca="1">"a_PREC_1_" &amp; INDIRECT("F" &amp; ROW(C762) - 10) &amp; "_p"</f>
        <v>a_PREC_1_6_1_p</v>
      </c>
      <c r="B762">
        <v>0</v>
      </c>
      <c r="C762" t="s">
        <v>4</v>
      </c>
      <c r="F762" s="5"/>
    </row>
    <row r="763" spans="1:8" x14ac:dyDescent="0.25">
      <c r="A763" t="str" cm="1">
        <f t="array" aca="1" ref="A763" ca="1">"a_PREC_2_" &amp; INDIRECT("F" &amp; ROW(C763) - 11) &amp; "_p"</f>
        <v>a_PREC_2_6_1_p</v>
      </c>
      <c r="B763">
        <v>0</v>
      </c>
      <c r="C763" t="s">
        <v>5</v>
      </c>
    </row>
    <row r="764" spans="1:8" x14ac:dyDescent="0.25">
      <c r="A764" t="str" cm="1">
        <f t="array" aca="1" ref="A764" ca="1">"a_PREC_3_" &amp; INDIRECT("F" &amp; ROW(C764) - 12) &amp; "_p"</f>
        <v>a_PREC_3_6_1_p</v>
      </c>
      <c r="B764">
        <v>2</v>
      </c>
      <c r="C764" t="s">
        <v>6</v>
      </c>
    </row>
    <row r="765" spans="1:8" x14ac:dyDescent="0.25">
      <c r="A765" s="5" t="s">
        <v>9</v>
      </c>
      <c r="G765" s="5"/>
      <c r="H765" s="5"/>
    </row>
    <row r="766" spans="1:8" x14ac:dyDescent="0.25">
      <c r="A766" t="str" cm="1">
        <f t="array" aca="1" ref="A766" ca="1">"a_SL_1_" &amp; INDIRECT("F" &amp; ROW(C766) - 14) &amp; "_p"</f>
        <v>a_SL_1_6_1_p</v>
      </c>
      <c r="B766">
        <v>0</v>
      </c>
      <c r="C766" t="s">
        <v>4</v>
      </c>
      <c r="F766" s="5"/>
    </row>
    <row r="767" spans="1:8" x14ac:dyDescent="0.25">
      <c r="A767" t="str" cm="1">
        <f t="array" aca="1" ref="A767" ca="1">"a_SL_2_" &amp; INDIRECT("F" &amp; ROW(C767) - 15) &amp; "_p"</f>
        <v>a_SL_2_6_1_p</v>
      </c>
      <c r="B767">
        <v>0</v>
      </c>
      <c r="C767" t="s">
        <v>5</v>
      </c>
    </row>
    <row r="768" spans="1:8" x14ac:dyDescent="0.25">
      <c r="A768" t="str" cm="1">
        <f t="array" aca="1" ref="A768" ca="1">"a_SL_3_" &amp; INDIRECT("F" &amp; ROW(C768) - 16) &amp; "_p"</f>
        <v>a_SL_3_6_1_p</v>
      </c>
      <c r="B768">
        <v>2</v>
      </c>
      <c r="C768" t="s">
        <v>6</v>
      </c>
    </row>
    <row r="769" spans="1:6" x14ac:dyDescent="0.25">
      <c r="A769" s="5" t="s">
        <v>95</v>
      </c>
    </row>
    <row r="770" spans="1:6" x14ac:dyDescent="0.25">
      <c r="A770" t="str" cm="1">
        <f t="array" aca="1" ref="A770" ca="1">"a_DRO_1_" &amp; INDIRECT("F" &amp; ROW(C770) - 18) &amp; "_p"</f>
        <v>a_DRO_1_6_1_p</v>
      </c>
      <c r="B770">
        <v>0</v>
      </c>
      <c r="C770" t="s">
        <v>4</v>
      </c>
    </row>
    <row r="771" spans="1:6" x14ac:dyDescent="0.25">
      <c r="A771" t="str" cm="1">
        <f t="array" aca="1" ref="A771" ca="1">"a_DRO_2_" &amp; INDIRECT("F" &amp; ROW(C771) - 19) &amp; "_p"</f>
        <v>a_DRO_2_6_1_p</v>
      </c>
      <c r="B771">
        <v>0</v>
      </c>
      <c r="C771" t="s">
        <v>5</v>
      </c>
    </row>
    <row r="772" spans="1:6" x14ac:dyDescent="0.25">
      <c r="A772" t="str" cm="1">
        <f t="array" aca="1" ref="A772" ca="1">"a_DRO_3_" &amp; INDIRECT("F" &amp; ROW(C772) - 20) &amp; "_p"</f>
        <v>a_DRO_3_6_1_p</v>
      </c>
      <c r="B772">
        <v>2</v>
      </c>
      <c r="C772" t="s">
        <v>6</v>
      </c>
    </row>
    <row r="773" spans="1:6" x14ac:dyDescent="0.25">
      <c r="A773" s="5" t="s">
        <v>96</v>
      </c>
    </row>
    <row r="774" spans="1:6" x14ac:dyDescent="0.25">
      <c r="A774" t="str" cm="1">
        <f t="array" aca="1" ref="A774" ca="1">"a_CYC_1_" &amp; INDIRECT("F" &amp; ROW(C774) - 22) &amp; "_p"</f>
        <v>a_CYC_1_6_1_p</v>
      </c>
      <c r="B774">
        <v>0.1</v>
      </c>
      <c r="C774" t="s">
        <v>4</v>
      </c>
    </row>
    <row r="775" spans="1:6" x14ac:dyDescent="0.25">
      <c r="A775" t="str" cm="1">
        <f t="array" aca="1" ref="A775" ca="1">"a_CYC_2_" &amp; INDIRECT("F" &amp; ROW(C775) - 23) &amp; "_p"</f>
        <v>a_CYC_2_6_1_p</v>
      </c>
      <c r="B775">
        <v>0</v>
      </c>
      <c r="C775" t="s">
        <v>5</v>
      </c>
    </row>
    <row r="776" spans="1:6" x14ac:dyDescent="0.25">
      <c r="A776" t="str" cm="1">
        <f t="array" aca="1" ref="A776" ca="1">"a_CYC_3_" &amp; INDIRECT("F" &amp; ROW(C776) - 24) &amp; "_p"</f>
        <v>a_CYC_3_6_1_p</v>
      </c>
      <c r="B776">
        <v>2</v>
      </c>
      <c r="C776" t="s">
        <v>6</v>
      </c>
    </row>
    <row r="777" spans="1:6" x14ac:dyDescent="0.25">
      <c r="A777" s="31" t="s">
        <v>134</v>
      </c>
      <c r="B777" s="31"/>
      <c r="C777" s="31"/>
      <c r="D777" s="25">
        <v>6</v>
      </c>
      <c r="E777" s="25">
        <v>2</v>
      </c>
      <c r="F777" s="25" t="s">
        <v>179</v>
      </c>
    </row>
    <row r="778" spans="1:6" x14ac:dyDescent="0.25">
      <c r="A778" s="5" t="s">
        <v>3</v>
      </c>
    </row>
    <row r="779" spans="1:6" x14ac:dyDescent="0.25">
      <c r="A779" t="str" cm="1">
        <f t="array" aca="1" ref="A779" ca="1">"a_T_1_" &amp; INDIRECT("F" &amp; ROW(C779)-2) &amp; "_p"</f>
        <v>a_T_1_6_2_p</v>
      </c>
      <c r="B779">
        <v>0</v>
      </c>
      <c r="C779" t="s">
        <v>4</v>
      </c>
    </row>
    <row r="780" spans="1:6" x14ac:dyDescent="0.25">
      <c r="A780" t="str" cm="1">
        <f t="array" aca="1" ref="A780" ca="1">"a_T_2_" &amp; INDIRECT("F" &amp; ROW(C780)-3) &amp; "_p"</f>
        <v>a_T_2_6_2_p</v>
      </c>
      <c r="B780">
        <v>0</v>
      </c>
      <c r="C780" t="s">
        <v>5</v>
      </c>
    </row>
    <row r="781" spans="1:6" x14ac:dyDescent="0.25">
      <c r="A781" t="str" cm="1">
        <f t="array" aca="1" ref="A781" ca="1">"a_T_3_" &amp; INDIRECT("F" &amp; ROW(C781)-4) &amp; "_p"</f>
        <v>a_T_3_6_2_p</v>
      </c>
      <c r="B781">
        <v>2</v>
      </c>
      <c r="C781" t="s">
        <v>6</v>
      </c>
    </row>
    <row r="782" spans="1:6" x14ac:dyDescent="0.25">
      <c r="A782" s="5" t="s">
        <v>8</v>
      </c>
    </row>
    <row r="783" spans="1:6" x14ac:dyDescent="0.25">
      <c r="A783" t="str" cm="1">
        <f t="array" aca="1" ref="A783" ca="1">"a_WS_1_" &amp; INDIRECT("F" &amp; ROW(C783)-6) &amp; "_p"</f>
        <v>a_WS_1_6_2_p</v>
      </c>
      <c r="B783">
        <v>0</v>
      </c>
      <c r="C783" t="s">
        <v>4</v>
      </c>
    </row>
    <row r="784" spans="1:6" x14ac:dyDescent="0.25">
      <c r="A784" t="str" cm="1">
        <f t="array" aca="1" ref="A784" ca="1">"a_WS_2_" &amp; INDIRECT("F" &amp; ROW(C784)-7) &amp; "_p"</f>
        <v>a_WS_2_6_2_p</v>
      </c>
      <c r="B784">
        <v>0</v>
      </c>
      <c r="C784" t="s">
        <v>5</v>
      </c>
    </row>
    <row r="785" spans="1:8" x14ac:dyDescent="0.25">
      <c r="A785" t="str" cm="1">
        <f t="array" aca="1" ref="A785" ca="1">"a_WS_3_" &amp; INDIRECT("F" &amp; ROW(C785)-8) &amp; "_p"</f>
        <v>a_WS_3_6_2_p</v>
      </c>
      <c r="B785">
        <v>2</v>
      </c>
      <c r="C785" t="s">
        <v>6</v>
      </c>
    </row>
    <row r="786" spans="1:8" x14ac:dyDescent="0.25">
      <c r="A786" s="5" t="s">
        <v>7</v>
      </c>
      <c r="G786" s="5"/>
      <c r="H786" s="5"/>
    </row>
    <row r="787" spans="1:8" x14ac:dyDescent="0.25">
      <c r="A787" t="str" cm="1">
        <f t="array" aca="1" ref="A787" ca="1">"a_PREC_1_" &amp; INDIRECT("F" &amp; ROW(C787) - 10) &amp; "_p"</f>
        <v>a_PREC_1_6_2_p</v>
      </c>
      <c r="B787">
        <v>0</v>
      </c>
      <c r="C787" t="s">
        <v>4</v>
      </c>
      <c r="F787" s="5"/>
    </row>
    <row r="788" spans="1:8" x14ac:dyDescent="0.25">
      <c r="A788" t="str" cm="1">
        <f t="array" aca="1" ref="A788" ca="1">"a_PREC_2_" &amp; INDIRECT("F" &amp; ROW(C788) - 11) &amp; "_p"</f>
        <v>a_PREC_2_6_2_p</v>
      </c>
      <c r="B788">
        <v>0</v>
      </c>
      <c r="C788" t="s">
        <v>5</v>
      </c>
    </row>
    <row r="789" spans="1:8" x14ac:dyDescent="0.25">
      <c r="A789" t="str" cm="1">
        <f t="array" aca="1" ref="A789" ca="1">"a_PREC_3_" &amp; INDIRECT("F" &amp; ROW(C789) - 12) &amp; "_p"</f>
        <v>a_PREC_3_6_2_p</v>
      </c>
      <c r="B789">
        <v>2</v>
      </c>
      <c r="C789" t="s">
        <v>6</v>
      </c>
    </row>
    <row r="790" spans="1:8" x14ac:dyDescent="0.25">
      <c r="A790" s="5" t="s">
        <v>9</v>
      </c>
      <c r="G790" s="5"/>
      <c r="H790" s="5"/>
    </row>
    <row r="791" spans="1:8" x14ac:dyDescent="0.25">
      <c r="A791" t="str" cm="1">
        <f t="array" aca="1" ref="A791" ca="1">"a_SL_1_" &amp; INDIRECT("F" &amp; ROW(C791) - 14) &amp; "_p"</f>
        <v>a_SL_1_6_2_p</v>
      </c>
      <c r="B791">
        <v>0</v>
      </c>
      <c r="C791" t="s">
        <v>4</v>
      </c>
      <c r="F791" s="5"/>
    </row>
    <row r="792" spans="1:8" x14ac:dyDescent="0.25">
      <c r="A792" t="str" cm="1">
        <f t="array" aca="1" ref="A792" ca="1">"a_SL_2_" &amp; INDIRECT("F" &amp; ROW(C792) - 15) &amp; "_p"</f>
        <v>a_SL_2_6_2_p</v>
      </c>
      <c r="B792">
        <v>0</v>
      </c>
      <c r="C792" t="s">
        <v>5</v>
      </c>
    </row>
    <row r="793" spans="1:8" x14ac:dyDescent="0.25">
      <c r="A793" t="str" cm="1">
        <f t="array" aca="1" ref="A793" ca="1">"a_SL_3_" &amp; INDIRECT("F" &amp; ROW(C793) - 16) &amp; "_p"</f>
        <v>a_SL_3_6_2_p</v>
      </c>
      <c r="B793">
        <v>2</v>
      </c>
      <c r="C793" t="s">
        <v>6</v>
      </c>
    </row>
    <row r="794" spans="1:8" x14ac:dyDescent="0.25">
      <c r="A794" s="5" t="s">
        <v>95</v>
      </c>
    </row>
    <row r="795" spans="1:8" x14ac:dyDescent="0.25">
      <c r="A795" t="str" cm="1">
        <f t="array" aca="1" ref="A795" ca="1">"a_DRO_1_" &amp; INDIRECT("F" &amp; ROW(C795) - 18) &amp; "_p"</f>
        <v>a_DRO_1_6_2_p</v>
      </c>
      <c r="B795">
        <v>0</v>
      </c>
      <c r="C795" t="s">
        <v>4</v>
      </c>
    </row>
    <row r="796" spans="1:8" x14ac:dyDescent="0.25">
      <c r="A796" t="str" cm="1">
        <f t="array" aca="1" ref="A796" ca="1">"a_DRO_2_" &amp; INDIRECT("F" &amp; ROW(C796) - 19) &amp; "_p"</f>
        <v>a_DRO_2_6_2_p</v>
      </c>
      <c r="B796">
        <v>0</v>
      </c>
      <c r="C796" t="s">
        <v>5</v>
      </c>
    </row>
    <row r="797" spans="1:8" x14ac:dyDescent="0.25">
      <c r="A797" t="str" cm="1">
        <f t="array" aca="1" ref="A797" ca="1">"a_DRO_3_" &amp; INDIRECT("F" &amp; ROW(C797) - 20) &amp; "_p"</f>
        <v>a_DRO_3_6_2_p</v>
      </c>
      <c r="B797">
        <v>2</v>
      </c>
      <c r="C797" t="s">
        <v>6</v>
      </c>
    </row>
    <row r="798" spans="1:8" x14ac:dyDescent="0.25">
      <c r="A798" s="5" t="s">
        <v>96</v>
      </c>
    </row>
    <row r="799" spans="1:8" x14ac:dyDescent="0.25">
      <c r="A799" t="str" cm="1">
        <f t="array" aca="1" ref="A799" ca="1">"a_CYC_1_" &amp; INDIRECT("F" &amp; ROW(C799) - 22) &amp; "_p"</f>
        <v>a_CYC_1_6_2_p</v>
      </c>
      <c r="B799">
        <v>0.1</v>
      </c>
      <c r="C799" t="s">
        <v>4</v>
      </c>
    </row>
    <row r="800" spans="1:8" x14ac:dyDescent="0.25">
      <c r="A800" t="str" cm="1">
        <f t="array" aca="1" ref="A800" ca="1">"a_CYC_2_" &amp; INDIRECT("F" &amp; ROW(C800) - 23) &amp; "_p"</f>
        <v>a_CYC_2_6_2_p</v>
      </c>
      <c r="B800">
        <v>0</v>
      </c>
      <c r="C800" t="s">
        <v>5</v>
      </c>
    </row>
    <row r="801" spans="1:8" x14ac:dyDescent="0.25">
      <c r="A801" t="str" cm="1">
        <f t="array" aca="1" ref="A801" ca="1">"a_CYC_3_" &amp; INDIRECT("F" &amp; ROW(C801) - 24) &amp; "_p"</f>
        <v>a_CYC_3_6_2_p</v>
      </c>
      <c r="B801">
        <v>2</v>
      </c>
      <c r="C801" t="s">
        <v>6</v>
      </c>
    </row>
    <row r="802" spans="1:8" x14ac:dyDescent="0.25">
      <c r="A802" s="31" t="s">
        <v>135</v>
      </c>
      <c r="B802" s="31"/>
      <c r="C802" s="31"/>
      <c r="D802" s="25">
        <v>6</v>
      </c>
      <c r="E802" s="25">
        <v>3</v>
      </c>
      <c r="F802" s="25" t="s">
        <v>178</v>
      </c>
    </row>
    <row r="803" spans="1:8" x14ac:dyDescent="0.25">
      <c r="A803" s="5" t="s">
        <v>3</v>
      </c>
    </row>
    <row r="804" spans="1:8" x14ac:dyDescent="0.25">
      <c r="A804" t="str" cm="1">
        <f t="array" aca="1" ref="A804" ca="1">"a_T_1_" &amp; INDIRECT("F" &amp; ROW(C804)-2) &amp; "_p"</f>
        <v>a_T_1_6_3_p</v>
      </c>
      <c r="B804">
        <v>0</v>
      </c>
      <c r="C804" t="s">
        <v>4</v>
      </c>
    </row>
    <row r="805" spans="1:8" x14ac:dyDescent="0.25">
      <c r="A805" t="str" cm="1">
        <f t="array" aca="1" ref="A805" ca="1">"a_T_2_" &amp; INDIRECT("F" &amp; ROW(C805)-3) &amp; "_p"</f>
        <v>a_T_2_6_3_p</v>
      </c>
      <c r="B805">
        <v>0</v>
      </c>
      <c r="C805" t="s">
        <v>5</v>
      </c>
    </row>
    <row r="806" spans="1:8" x14ac:dyDescent="0.25">
      <c r="A806" t="str" cm="1">
        <f t="array" aca="1" ref="A806" ca="1">"a_T_3_" &amp; INDIRECT("F" &amp; ROW(C806)-4) &amp; "_p"</f>
        <v>a_T_3_6_3_p</v>
      </c>
      <c r="B806">
        <v>2</v>
      </c>
      <c r="C806" t="s">
        <v>6</v>
      </c>
    </row>
    <row r="807" spans="1:8" x14ac:dyDescent="0.25">
      <c r="A807" s="5" t="s">
        <v>8</v>
      </c>
    </row>
    <row r="808" spans="1:8" x14ac:dyDescent="0.25">
      <c r="A808" t="str" cm="1">
        <f t="array" aca="1" ref="A808" ca="1">"a_WS_1_" &amp; INDIRECT("F" &amp; ROW(C808)-6) &amp; "_p"</f>
        <v>a_WS_1_6_3_p</v>
      </c>
      <c r="B808">
        <v>0</v>
      </c>
      <c r="C808" t="s">
        <v>4</v>
      </c>
    </row>
    <row r="809" spans="1:8" x14ac:dyDescent="0.25">
      <c r="A809" t="str" cm="1">
        <f t="array" aca="1" ref="A809" ca="1">"a_WS_2_" &amp; INDIRECT("F" &amp; ROW(C809)-7) &amp; "_p"</f>
        <v>a_WS_2_6_3_p</v>
      </c>
      <c r="B809">
        <v>0</v>
      </c>
      <c r="C809" t="s">
        <v>5</v>
      </c>
    </row>
    <row r="810" spans="1:8" x14ac:dyDescent="0.25">
      <c r="A810" t="str" cm="1">
        <f t="array" aca="1" ref="A810" ca="1">"a_WS_3_" &amp; INDIRECT("F" &amp; ROW(C810)-8) &amp; "_p"</f>
        <v>a_WS_3_6_3_p</v>
      </c>
      <c r="B810">
        <v>2</v>
      </c>
      <c r="C810" t="s">
        <v>6</v>
      </c>
    </row>
    <row r="811" spans="1:8" x14ac:dyDescent="0.25">
      <c r="A811" s="5" t="s">
        <v>7</v>
      </c>
      <c r="G811" s="5"/>
      <c r="H811" s="5"/>
    </row>
    <row r="812" spans="1:8" x14ac:dyDescent="0.25">
      <c r="A812" t="str" cm="1">
        <f t="array" aca="1" ref="A812" ca="1">"a_PREC_1_" &amp; INDIRECT("F" &amp; ROW(C812) - 10) &amp; "_p"</f>
        <v>a_PREC_1_6_3_p</v>
      </c>
      <c r="B812">
        <v>0</v>
      </c>
      <c r="C812" t="s">
        <v>4</v>
      </c>
      <c r="F812" s="5"/>
    </row>
    <row r="813" spans="1:8" x14ac:dyDescent="0.25">
      <c r="A813" t="str" cm="1">
        <f t="array" aca="1" ref="A813" ca="1">"a_PREC_2_" &amp; INDIRECT("F" &amp; ROW(C813) - 11) &amp; "_p"</f>
        <v>a_PREC_2_6_3_p</v>
      </c>
      <c r="B813">
        <v>0</v>
      </c>
      <c r="C813" t="s">
        <v>5</v>
      </c>
    </row>
    <row r="814" spans="1:8" x14ac:dyDescent="0.25">
      <c r="A814" t="str" cm="1">
        <f t="array" aca="1" ref="A814" ca="1">"a_PREC_3_" &amp; INDIRECT("F" &amp; ROW(C814) - 12) &amp; "_p"</f>
        <v>a_PREC_3_6_3_p</v>
      </c>
      <c r="B814">
        <v>2</v>
      </c>
      <c r="C814" t="s">
        <v>6</v>
      </c>
    </row>
    <row r="815" spans="1:8" x14ac:dyDescent="0.25">
      <c r="A815" s="5" t="s">
        <v>9</v>
      </c>
      <c r="G815" s="5"/>
      <c r="H815" s="5"/>
    </row>
    <row r="816" spans="1:8" x14ac:dyDescent="0.25">
      <c r="A816" t="str" cm="1">
        <f t="array" aca="1" ref="A816" ca="1">"a_SL_1_" &amp; INDIRECT("F" &amp; ROW(C816) - 14) &amp; "_p"</f>
        <v>a_SL_1_6_3_p</v>
      </c>
      <c r="B816">
        <v>0</v>
      </c>
      <c r="C816" t="s">
        <v>4</v>
      </c>
      <c r="F816" s="5"/>
    </row>
    <row r="817" spans="1:6" x14ac:dyDescent="0.25">
      <c r="A817" t="str" cm="1">
        <f t="array" aca="1" ref="A817" ca="1">"a_SL_2_" &amp; INDIRECT("F" &amp; ROW(C817) - 15) &amp; "_p"</f>
        <v>a_SL_2_6_3_p</v>
      </c>
      <c r="B817">
        <v>0</v>
      </c>
      <c r="C817" t="s">
        <v>5</v>
      </c>
    </row>
    <row r="818" spans="1:6" x14ac:dyDescent="0.25">
      <c r="A818" t="str" cm="1">
        <f t="array" aca="1" ref="A818" ca="1">"a_SL_3_" &amp; INDIRECT("F" &amp; ROW(C818) - 16) &amp; "_p"</f>
        <v>a_SL_3_6_3_p</v>
      </c>
      <c r="B818">
        <v>2</v>
      </c>
      <c r="C818" t="s">
        <v>6</v>
      </c>
    </row>
    <row r="819" spans="1:6" x14ac:dyDescent="0.25">
      <c r="A819" s="5" t="s">
        <v>95</v>
      </c>
    </row>
    <row r="820" spans="1:6" x14ac:dyDescent="0.25">
      <c r="A820" t="str" cm="1">
        <f t="array" aca="1" ref="A820" ca="1">"a_DRO_1_" &amp; INDIRECT("F" &amp; ROW(C820) - 18) &amp; "_p"</f>
        <v>a_DRO_1_6_3_p</v>
      </c>
      <c r="B820">
        <v>0</v>
      </c>
      <c r="C820" t="s">
        <v>4</v>
      </c>
    </row>
    <row r="821" spans="1:6" x14ac:dyDescent="0.25">
      <c r="A821" t="str" cm="1">
        <f t="array" aca="1" ref="A821" ca="1">"a_DRO_2_" &amp; INDIRECT("F" &amp; ROW(C821) - 19) &amp; "_p"</f>
        <v>a_DRO_2_6_3_p</v>
      </c>
      <c r="B821">
        <v>0</v>
      </c>
      <c r="C821" t="s">
        <v>5</v>
      </c>
    </row>
    <row r="822" spans="1:6" x14ac:dyDescent="0.25">
      <c r="A822" t="str" cm="1">
        <f t="array" aca="1" ref="A822" ca="1">"a_DRO_3_" &amp; INDIRECT("F" &amp; ROW(C822) - 20) &amp; "_p"</f>
        <v>a_DRO_3_6_3_p</v>
      </c>
      <c r="B822">
        <v>2</v>
      </c>
      <c r="C822" t="s">
        <v>6</v>
      </c>
    </row>
    <row r="823" spans="1:6" x14ac:dyDescent="0.25">
      <c r="A823" s="5" t="s">
        <v>96</v>
      </c>
    </row>
    <row r="824" spans="1:6" x14ac:dyDescent="0.25">
      <c r="A824" t="str" cm="1">
        <f t="array" aca="1" ref="A824" ca="1">"a_CYC_1_" &amp; INDIRECT("F" &amp; ROW(C824) - 22) &amp; "_p"</f>
        <v>a_CYC_1_6_3_p</v>
      </c>
      <c r="B824">
        <v>0.1</v>
      </c>
      <c r="C824" t="s">
        <v>4</v>
      </c>
    </row>
    <row r="825" spans="1:6" x14ac:dyDescent="0.25">
      <c r="A825" t="str" cm="1">
        <f t="array" aca="1" ref="A825" ca="1">"a_CYC_2_" &amp; INDIRECT("F" &amp; ROW(C825) - 23) &amp; "_p"</f>
        <v>a_CYC_2_6_3_p</v>
      </c>
      <c r="B825">
        <v>0</v>
      </c>
      <c r="C825" t="s">
        <v>5</v>
      </c>
    </row>
    <row r="826" spans="1:6" x14ac:dyDescent="0.25">
      <c r="A826" t="str" cm="1">
        <f t="array" aca="1" ref="A826" ca="1">"a_CYC_3_" &amp; INDIRECT("F" &amp; ROW(C826) - 24) &amp; "_p"</f>
        <v>a_CYC_3_6_3_p</v>
      </c>
      <c r="B826">
        <v>2</v>
      </c>
      <c r="C826" t="s">
        <v>6</v>
      </c>
    </row>
    <row r="827" spans="1:6" x14ac:dyDescent="0.25">
      <c r="A827" s="31" t="s">
        <v>136</v>
      </c>
      <c r="B827" s="31"/>
      <c r="C827" s="31"/>
      <c r="D827" s="25">
        <v>6</v>
      </c>
      <c r="E827" s="25">
        <v>4</v>
      </c>
      <c r="F827" s="25" t="s">
        <v>177</v>
      </c>
    </row>
    <row r="828" spans="1:6" x14ac:dyDescent="0.25">
      <c r="A828" s="5" t="s">
        <v>3</v>
      </c>
    </row>
    <row r="829" spans="1:6" x14ac:dyDescent="0.25">
      <c r="A829" t="str" cm="1">
        <f t="array" aca="1" ref="A829" ca="1">"a_T_1_" &amp; INDIRECT("F" &amp; ROW(C829)-2) &amp; "_p"</f>
        <v>a_T_1_6_4_p</v>
      </c>
      <c r="B829">
        <v>0</v>
      </c>
      <c r="C829" t="s">
        <v>4</v>
      </c>
    </row>
    <row r="830" spans="1:6" x14ac:dyDescent="0.25">
      <c r="A830" t="str" cm="1">
        <f t="array" aca="1" ref="A830" ca="1">"a_T_2_" &amp; INDIRECT("F" &amp; ROW(C830)-3) &amp; "_p"</f>
        <v>a_T_2_6_4_p</v>
      </c>
      <c r="B830">
        <v>0</v>
      </c>
      <c r="C830" t="s">
        <v>5</v>
      </c>
    </row>
    <row r="831" spans="1:6" x14ac:dyDescent="0.25">
      <c r="A831" t="str" cm="1">
        <f t="array" aca="1" ref="A831" ca="1">"a_T_3_" &amp; INDIRECT("F" &amp; ROW(C831)-4) &amp; "_p"</f>
        <v>a_T_3_6_4_p</v>
      </c>
      <c r="B831">
        <v>2</v>
      </c>
      <c r="C831" t="s">
        <v>6</v>
      </c>
    </row>
    <row r="832" spans="1:6" x14ac:dyDescent="0.25">
      <c r="A832" s="5" t="s">
        <v>8</v>
      </c>
    </row>
    <row r="833" spans="1:8" x14ac:dyDescent="0.25">
      <c r="A833" t="str" cm="1">
        <f t="array" aca="1" ref="A833" ca="1">"a_WS_1_" &amp; INDIRECT("F" &amp; ROW(C833)-6) &amp; "_p"</f>
        <v>a_WS_1_6_4_p</v>
      </c>
      <c r="B833">
        <v>0</v>
      </c>
      <c r="C833" t="s">
        <v>4</v>
      </c>
    </row>
    <row r="834" spans="1:8" x14ac:dyDescent="0.25">
      <c r="A834" t="str" cm="1">
        <f t="array" aca="1" ref="A834" ca="1">"a_WS_2_" &amp; INDIRECT("F" &amp; ROW(C834)-7) &amp; "_p"</f>
        <v>a_WS_2_6_4_p</v>
      </c>
      <c r="B834">
        <v>0</v>
      </c>
      <c r="C834" t="s">
        <v>5</v>
      </c>
    </row>
    <row r="835" spans="1:8" x14ac:dyDescent="0.25">
      <c r="A835" t="str" cm="1">
        <f t="array" aca="1" ref="A835" ca="1">"a_WS_3_" &amp; INDIRECT("F" &amp; ROW(C835)-8) &amp; "_p"</f>
        <v>a_WS_3_6_4_p</v>
      </c>
      <c r="B835">
        <v>2</v>
      </c>
      <c r="C835" t="s">
        <v>6</v>
      </c>
    </row>
    <row r="836" spans="1:8" x14ac:dyDescent="0.25">
      <c r="A836" s="5" t="s">
        <v>7</v>
      </c>
      <c r="G836" s="5"/>
      <c r="H836" s="5"/>
    </row>
    <row r="837" spans="1:8" x14ac:dyDescent="0.25">
      <c r="A837" t="str" cm="1">
        <f t="array" aca="1" ref="A837" ca="1">"a_PREC_1_" &amp; INDIRECT("F" &amp; ROW(C837) - 10) &amp; "_p"</f>
        <v>a_PREC_1_6_4_p</v>
      </c>
      <c r="B837">
        <v>0</v>
      </c>
      <c r="C837" t="s">
        <v>4</v>
      </c>
      <c r="F837" s="5"/>
    </row>
    <row r="838" spans="1:8" x14ac:dyDescent="0.25">
      <c r="A838" t="str" cm="1">
        <f t="array" aca="1" ref="A838" ca="1">"a_PREC_2_" &amp; INDIRECT("F" &amp; ROW(C838) - 11) &amp; "_p"</f>
        <v>a_PREC_2_6_4_p</v>
      </c>
      <c r="B838">
        <v>0</v>
      </c>
      <c r="C838" t="s">
        <v>5</v>
      </c>
    </row>
    <row r="839" spans="1:8" x14ac:dyDescent="0.25">
      <c r="A839" t="str" cm="1">
        <f t="array" aca="1" ref="A839" ca="1">"a_PREC_3_" &amp; INDIRECT("F" &amp; ROW(C839) - 12) &amp; "_p"</f>
        <v>a_PREC_3_6_4_p</v>
      </c>
      <c r="B839">
        <v>2</v>
      </c>
      <c r="C839" t="s">
        <v>6</v>
      </c>
    </row>
    <row r="840" spans="1:8" x14ac:dyDescent="0.25">
      <c r="A840" s="5" t="s">
        <v>9</v>
      </c>
      <c r="G840" s="5"/>
      <c r="H840" s="5"/>
    </row>
    <row r="841" spans="1:8" x14ac:dyDescent="0.25">
      <c r="A841" t="str" cm="1">
        <f t="array" aca="1" ref="A841" ca="1">"a_SL_1_" &amp; INDIRECT("F" &amp; ROW(C841) - 14) &amp; "_p"</f>
        <v>a_SL_1_6_4_p</v>
      </c>
      <c r="B841">
        <v>0</v>
      </c>
      <c r="C841" t="s">
        <v>4</v>
      </c>
      <c r="F841" s="5"/>
    </row>
    <row r="842" spans="1:8" x14ac:dyDescent="0.25">
      <c r="A842" t="str" cm="1">
        <f t="array" aca="1" ref="A842" ca="1">"a_SL_2_" &amp; INDIRECT("F" &amp; ROW(C842) - 15) &amp; "_p"</f>
        <v>a_SL_2_6_4_p</v>
      </c>
      <c r="B842">
        <v>0</v>
      </c>
      <c r="C842" t="s">
        <v>5</v>
      </c>
    </row>
    <row r="843" spans="1:8" x14ac:dyDescent="0.25">
      <c r="A843" t="str" cm="1">
        <f t="array" aca="1" ref="A843" ca="1">"a_SL_3_" &amp; INDIRECT("F" &amp; ROW(C843) - 16) &amp; "_p"</f>
        <v>a_SL_3_6_4_p</v>
      </c>
      <c r="B843">
        <v>2</v>
      </c>
      <c r="C843" t="s">
        <v>6</v>
      </c>
    </row>
    <row r="844" spans="1:8" x14ac:dyDescent="0.25">
      <c r="A844" s="5" t="s">
        <v>95</v>
      </c>
    </row>
    <row r="845" spans="1:8" x14ac:dyDescent="0.25">
      <c r="A845" t="str" cm="1">
        <f t="array" aca="1" ref="A845" ca="1">"a_DRO_1_" &amp; INDIRECT("F" &amp; ROW(C845) - 18) &amp; "_p"</f>
        <v>a_DRO_1_6_4_p</v>
      </c>
      <c r="B845">
        <v>0</v>
      </c>
      <c r="C845" t="s">
        <v>4</v>
      </c>
    </row>
    <row r="846" spans="1:8" x14ac:dyDescent="0.25">
      <c r="A846" t="str" cm="1">
        <f t="array" aca="1" ref="A846" ca="1">"a_DRO_2_" &amp; INDIRECT("F" &amp; ROW(C846) - 19) &amp; "_p"</f>
        <v>a_DRO_2_6_4_p</v>
      </c>
      <c r="B846">
        <v>0</v>
      </c>
      <c r="C846" t="s">
        <v>5</v>
      </c>
    </row>
    <row r="847" spans="1:8" x14ac:dyDescent="0.25">
      <c r="A847" t="str" cm="1">
        <f t="array" aca="1" ref="A847" ca="1">"a_DRO_3_" &amp; INDIRECT("F" &amp; ROW(C847) - 20) &amp; "_p"</f>
        <v>a_DRO_3_6_4_p</v>
      </c>
      <c r="B847">
        <v>2</v>
      </c>
      <c r="C847" t="s">
        <v>6</v>
      </c>
    </row>
    <row r="848" spans="1:8" x14ac:dyDescent="0.25">
      <c r="A848" s="5" t="s">
        <v>96</v>
      </c>
    </row>
    <row r="849" spans="1:8" x14ac:dyDescent="0.25">
      <c r="A849" t="str" cm="1">
        <f t="array" aca="1" ref="A849" ca="1">"a_CYC_1_" &amp; INDIRECT("F" &amp; ROW(C849) - 22) &amp; "_p"</f>
        <v>a_CYC_1_6_4_p</v>
      </c>
      <c r="B849">
        <v>0.1</v>
      </c>
      <c r="C849" t="s">
        <v>4</v>
      </c>
    </row>
    <row r="850" spans="1:8" x14ac:dyDescent="0.25">
      <c r="A850" t="str" cm="1">
        <f t="array" aca="1" ref="A850" ca="1">"a_CYC_2_" &amp; INDIRECT("F" &amp; ROW(C850) - 23) &amp; "_p"</f>
        <v>a_CYC_2_6_4_p</v>
      </c>
      <c r="B850">
        <v>0</v>
      </c>
      <c r="C850" t="s">
        <v>5</v>
      </c>
    </row>
    <row r="851" spans="1:8" x14ac:dyDescent="0.25">
      <c r="A851" t="str" cm="1">
        <f t="array" aca="1" ref="A851" ca="1">"a_CYC_3_" &amp; INDIRECT("F" &amp; ROW(C851) - 24) &amp; "_p"</f>
        <v>a_CYC_3_6_4_p</v>
      </c>
      <c r="B851">
        <v>2</v>
      </c>
      <c r="C851" t="s">
        <v>6</v>
      </c>
    </row>
    <row r="852" spans="1:8" x14ac:dyDescent="0.25">
      <c r="A852" s="31" t="s">
        <v>137</v>
      </c>
      <c r="B852" s="31"/>
      <c r="C852" s="31"/>
      <c r="D852" s="25">
        <v>6</v>
      </c>
      <c r="E852" s="25">
        <v>5</v>
      </c>
      <c r="F852" s="25" t="s">
        <v>176</v>
      </c>
    </row>
    <row r="853" spans="1:8" x14ac:dyDescent="0.25">
      <c r="A853" s="5" t="s">
        <v>3</v>
      </c>
    </row>
    <row r="854" spans="1:8" x14ac:dyDescent="0.25">
      <c r="A854" t="str" cm="1">
        <f t="array" aca="1" ref="A854" ca="1">"a_T_1_" &amp; INDIRECT("F" &amp; ROW(C854)-2) &amp; "_p"</f>
        <v>a_T_1_6_5_p</v>
      </c>
      <c r="B854">
        <v>0</v>
      </c>
      <c r="C854" t="s">
        <v>4</v>
      </c>
    </row>
    <row r="855" spans="1:8" x14ac:dyDescent="0.25">
      <c r="A855" t="str" cm="1">
        <f t="array" aca="1" ref="A855" ca="1">"a_T_2_" &amp; INDIRECT("F" &amp; ROW(C855)-3) &amp; "_p"</f>
        <v>a_T_2_6_5_p</v>
      </c>
      <c r="B855">
        <v>0</v>
      </c>
      <c r="C855" t="s">
        <v>5</v>
      </c>
    </row>
    <row r="856" spans="1:8" x14ac:dyDescent="0.25">
      <c r="A856" t="str" cm="1">
        <f t="array" aca="1" ref="A856" ca="1">"a_T_3_" &amp; INDIRECT("F" &amp; ROW(C856)-4) &amp; "_p"</f>
        <v>a_T_3_6_5_p</v>
      </c>
      <c r="B856">
        <v>2</v>
      </c>
      <c r="C856" t="s">
        <v>6</v>
      </c>
    </row>
    <row r="857" spans="1:8" x14ac:dyDescent="0.25">
      <c r="A857" s="5" t="s">
        <v>8</v>
      </c>
    </row>
    <row r="858" spans="1:8" x14ac:dyDescent="0.25">
      <c r="A858" t="str" cm="1">
        <f t="array" aca="1" ref="A858" ca="1">"a_WS_1_" &amp; INDIRECT("F" &amp; ROW(C858)-6) &amp; "_p"</f>
        <v>a_WS_1_6_5_p</v>
      </c>
      <c r="B858">
        <v>0</v>
      </c>
      <c r="C858" t="s">
        <v>4</v>
      </c>
    </row>
    <row r="859" spans="1:8" x14ac:dyDescent="0.25">
      <c r="A859" t="str" cm="1">
        <f t="array" aca="1" ref="A859" ca="1">"a_WS_2_" &amp; INDIRECT("F" &amp; ROW(C859)-7) &amp; "_p"</f>
        <v>a_WS_2_6_5_p</v>
      </c>
      <c r="B859">
        <v>0</v>
      </c>
      <c r="C859" t="s">
        <v>5</v>
      </c>
    </row>
    <row r="860" spans="1:8" x14ac:dyDescent="0.25">
      <c r="A860" t="str" cm="1">
        <f t="array" aca="1" ref="A860" ca="1">"a_WS_3_" &amp; INDIRECT("F" &amp; ROW(C860)-8) &amp; "_p"</f>
        <v>a_WS_3_6_5_p</v>
      </c>
      <c r="B860">
        <v>2</v>
      </c>
      <c r="C860" t="s">
        <v>6</v>
      </c>
    </row>
    <row r="861" spans="1:8" x14ac:dyDescent="0.25">
      <c r="A861" s="5" t="s">
        <v>7</v>
      </c>
      <c r="G861" s="5"/>
      <c r="H861" s="5"/>
    </row>
    <row r="862" spans="1:8" x14ac:dyDescent="0.25">
      <c r="A862" t="str" cm="1">
        <f t="array" aca="1" ref="A862" ca="1">"a_PREC_1_" &amp; INDIRECT("F" &amp; ROW(C862) - 10) &amp; "_p"</f>
        <v>a_PREC_1_6_5_p</v>
      </c>
      <c r="B862">
        <v>0</v>
      </c>
      <c r="C862" t="s">
        <v>4</v>
      </c>
      <c r="F862" s="5"/>
    </row>
    <row r="863" spans="1:8" x14ac:dyDescent="0.25">
      <c r="A863" t="str" cm="1">
        <f t="array" aca="1" ref="A863" ca="1">"a_PREC_2_" &amp; INDIRECT("F" &amp; ROW(C863) - 11) &amp; "_p"</f>
        <v>a_PREC_2_6_5_p</v>
      </c>
      <c r="B863">
        <v>0</v>
      </c>
      <c r="C863" t="s">
        <v>5</v>
      </c>
    </row>
    <row r="864" spans="1:8" x14ac:dyDescent="0.25">
      <c r="A864" t="str" cm="1">
        <f t="array" aca="1" ref="A864" ca="1">"a_PREC_3_" &amp; INDIRECT("F" &amp; ROW(C864) - 12) &amp; "_p"</f>
        <v>a_PREC_3_6_5_p</v>
      </c>
      <c r="B864">
        <v>2</v>
      </c>
      <c r="C864" t="s">
        <v>6</v>
      </c>
    </row>
    <row r="865" spans="1:8" x14ac:dyDescent="0.25">
      <c r="A865" s="5" t="s">
        <v>9</v>
      </c>
      <c r="G865" s="5"/>
      <c r="H865" s="5"/>
    </row>
    <row r="866" spans="1:8" x14ac:dyDescent="0.25">
      <c r="A866" t="str" cm="1">
        <f t="array" aca="1" ref="A866" ca="1">"a_SL_1_" &amp; INDIRECT("F" &amp; ROW(C866) - 14) &amp; "_p"</f>
        <v>a_SL_1_6_5_p</v>
      </c>
      <c r="B866">
        <v>0</v>
      </c>
      <c r="C866" t="s">
        <v>4</v>
      </c>
      <c r="F866" s="5"/>
    </row>
    <row r="867" spans="1:8" x14ac:dyDescent="0.25">
      <c r="A867" t="str" cm="1">
        <f t="array" aca="1" ref="A867" ca="1">"a_SL_2_" &amp; INDIRECT("F" &amp; ROW(C867) - 15) &amp; "_p"</f>
        <v>a_SL_2_6_5_p</v>
      </c>
      <c r="B867">
        <v>0</v>
      </c>
      <c r="C867" t="s">
        <v>5</v>
      </c>
    </row>
    <row r="868" spans="1:8" x14ac:dyDescent="0.25">
      <c r="A868" t="str" cm="1">
        <f t="array" aca="1" ref="A868" ca="1">"a_SL_3_" &amp; INDIRECT("F" &amp; ROW(C868) - 16) &amp; "_p"</f>
        <v>a_SL_3_6_5_p</v>
      </c>
      <c r="B868">
        <v>2</v>
      </c>
      <c r="C868" t="s">
        <v>6</v>
      </c>
    </row>
    <row r="869" spans="1:8" x14ac:dyDescent="0.25">
      <c r="A869" s="5" t="s">
        <v>95</v>
      </c>
    </row>
    <row r="870" spans="1:8" x14ac:dyDescent="0.25">
      <c r="A870" t="str" cm="1">
        <f t="array" aca="1" ref="A870" ca="1">"a_DRO_1_" &amp; INDIRECT("F" &amp; ROW(C870) - 18) &amp; "_p"</f>
        <v>a_DRO_1_6_5_p</v>
      </c>
      <c r="B870">
        <v>0</v>
      </c>
      <c r="C870" t="s">
        <v>4</v>
      </c>
    </row>
    <row r="871" spans="1:8" x14ac:dyDescent="0.25">
      <c r="A871" t="str" cm="1">
        <f t="array" aca="1" ref="A871" ca="1">"a_DRO_2_" &amp; INDIRECT("F" &amp; ROW(C871) - 19) &amp; "_p"</f>
        <v>a_DRO_2_6_5_p</v>
      </c>
      <c r="B871">
        <v>0</v>
      </c>
      <c r="C871" t="s">
        <v>5</v>
      </c>
    </row>
    <row r="872" spans="1:8" x14ac:dyDescent="0.25">
      <c r="A872" t="str" cm="1">
        <f t="array" aca="1" ref="A872" ca="1">"a_DRO_3_" &amp; INDIRECT("F" &amp; ROW(C872) - 20) &amp; "_p"</f>
        <v>a_DRO_3_6_5_p</v>
      </c>
      <c r="B872">
        <v>2</v>
      </c>
      <c r="C872" t="s">
        <v>6</v>
      </c>
    </row>
    <row r="873" spans="1:8" x14ac:dyDescent="0.25">
      <c r="A873" s="5" t="s">
        <v>96</v>
      </c>
    </row>
    <row r="874" spans="1:8" x14ac:dyDescent="0.25">
      <c r="A874" t="str" cm="1">
        <f t="array" aca="1" ref="A874" ca="1">"a_CYC_1_" &amp; INDIRECT("F" &amp; ROW(C874) - 22) &amp; "_p"</f>
        <v>a_CYC_1_6_5_p</v>
      </c>
      <c r="B874">
        <v>0.1</v>
      </c>
      <c r="C874" t="s">
        <v>4</v>
      </c>
    </row>
    <row r="875" spans="1:8" x14ac:dyDescent="0.25">
      <c r="A875" t="str" cm="1">
        <f t="array" aca="1" ref="A875" ca="1">"a_CYC_2_" &amp; INDIRECT("F" &amp; ROW(C875) - 23) &amp; "_p"</f>
        <v>a_CYC_2_6_5_p</v>
      </c>
      <c r="B875">
        <v>0</v>
      </c>
      <c r="C875" t="s">
        <v>5</v>
      </c>
    </row>
    <row r="876" spans="1:8" x14ac:dyDescent="0.25">
      <c r="A876" t="str" cm="1">
        <f t="array" aca="1" ref="A876" ca="1">"a_CYC_3_" &amp; INDIRECT("F" &amp; ROW(C876) - 24) &amp; "_p"</f>
        <v>a_CYC_3_6_5_p</v>
      </c>
      <c r="B876">
        <v>2</v>
      </c>
      <c r="C876" t="s">
        <v>6</v>
      </c>
    </row>
    <row r="877" spans="1:8" x14ac:dyDescent="0.25">
      <c r="A877" s="31" t="s">
        <v>138</v>
      </c>
      <c r="B877" s="31"/>
      <c r="C877" s="31"/>
      <c r="D877" s="25">
        <v>6</v>
      </c>
      <c r="E877" s="25">
        <v>6</v>
      </c>
      <c r="F877" s="25" t="s">
        <v>175</v>
      </c>
    </row>
    <row r="878" spans="1:8" x14ac:dyDescent="0.25">
      <c r="A878" s="5" t="s">
        <v>3</v>
      </c>
    </row>
    <row r="879" spans="1:8" x14ac:dyDescent="0.25">
      <c r="A879" t="str" cm="1">
        <f t="array" aca="1" ref="A879" ca="1">"a_T_1_" &amp; INDIRECT("F" &amp; ROW(C879)-2) &amp; "_p"</f>
        <v>a_T_1_6_6_p</v>
      </c>
      <c r="B879">
        <v>0</v>
      </c>
      <c r="C879" t="s">
        <v>4</v>
      </c>
    </row>
    <row r="880" spans="1:8" x14ac:dyDescent="0.25">
      <c r="A880" t="str" cm="1">
        <f t="array" aca="1" ref="A880" ca="1">"a_T_2_" &amp; INDIRECT("F" &amp; ROW(C880)-3) &amp; "_p"</f>
        <v>a_T_2_6_6_p</v>
      </c>
      <c r="B880">
        <v>0</v>
      </c>
      <c r="C880" t="s">
        <v>5</v>
      </c>
    </row>
    <row r="881" spans="1:8" x14ac:dyDescent="0.25">
      <c r="A881" t="str" cm="1">
        <f t="array" aca="1" ref="A881" ca="1">"a_T_3_" &amp; INDIRECT("F" &amp; ROW(C881)-4) &amp; "_p"</f>
        <v>a_T_3_6_6_p</v>
      </c>
      <c r="B881">
        <v>2</v>
      </c>
      <c r="C881" t="s">
        <v>6</v>
      </c>
    </row>
    <row r="882" spans="1:8" x14ac:dyDescent="0.25">
      <c r="A882" s="5" t="s">
        <v>8</v>
      </c>
    </row>
    <row r="883" spans="1:8" x14ac:dyDescent="0.25">
      <c r="A883" t="str" cm="1">
        <f t="array" aca="1" ref="A883" ca="1">"a_WS_1_" &amp; INDIRECT("F" &amp; ROW(C883)-6) &amp; "_p"</f>
        <v>a_WS_1_6_6_p</v>
      </c>
      <c r="B883">
        <v>0</v>
      </c>
      <c r="C883" t="s">
        <v>4</v>
      </c>
    </row>
    <row r="884" spans="1:8" x14ac:dyDescent="0.25">
      <c r="A884" t="str" cm="1">
        <f t="array" aca="1" ref="A884" ca="1">"a_WS_2_" &amp; INDIRECT("F" &amp; ROW(C884)-7) &amp; "_p"</f>
        <v>a_WS_2_6_6_p</v>
      </c>
      <c r="B884">
        <v>0</v>
      </c>
      <c r="C884" t="s">
        <v>5</v>
      </c>
    </row>
    <row r="885" spans="1:8" x14ac:dyDescent="0.25">
      <c r="A885" t="str" cm="1">
        <f t="array" aca="1" ref="A885" ca="1">"a_WS_3_" &amp; INDIRECT("F" &amp; ROW(C885)-8) &amp; "_p"</f>
        <v>a_WS_3_6_6_p</v>
      </c>
      <c r="B885">
        <v>2</v>
      </c>
      <c r="C885" t="s">
        <v>6</v>
      </c>
    </row>
    <row r="886" spans="1:8" x14ac:dyDescent="0.25">
      <c r="A886" s="5" t="s">
        <v>7</v>
      </c>
      <c r="G886" s="5"/>
      <c r="H886" s="5"/>
    </row>
    <row r="887" spans="1:8" x14ac:dyDescent="0.25">
      <c r="A887" t="str" cm="1">
        <f t="array" aca="1" ref="A887" ca="1">"a_PREC_1_" &amp; INDIRECT("F" &amp; ROW(C887) - 10) &amp; "_p"</f>
        <v>a_PREC_1_6_6_p</v>
      </c>
      <c r="B887">
        <v>0</v>
      </c>
      <c r="C887" t="s">
        <v>4</v>
      </c>
      <c r="F887" s="5"/>
    </row>
    <row r="888" spans="1:8" x14ac:dyDescent="0.25">
      <c r="A888" t="str" cm="1">
        <f t="array" aca="1" ref="A888" ca="1">"a_PREC_2_" &amp; INDIRECT("F" &amp; ROW(C888) - 11) &amp; "_p"</f>
        <v>a_PREC_2_6_6_p</v>
      </c>
      <c r="B888">
        <v>0</v>
      </c>
      <c r="C888" t="s">
        <v>5</v>
      </c>
    </row>
    <row r="889" spans="1:8" x14ac:dyDescent="0.25">
      <c r="A889" t="str" cm="1">
        <f t="array" aca="1" ref="A889" ca="1">"a_PREC_3_" &amp; INDIRECT("F" &amp; ROW(C889) - 12) &amp; "_p"</f>
        <v>a_PREC_3_6_6_p</v>
      </c>
      <c r="B889">
        <v>2</v>
      </c>
      <c r="C889" t="s">
        <v>6</v>
      </c>
    </row>
    <row r="890" spans="1:8" x14ac:dyDescent="0.25">
      <c r="A890" s="5" t="s">
        <v>9</v>
      </c>
      <c r="G890" s="5"/>
      <c r="H890" s="5"/>
    </row>
    <row r="891" spans="1:8" x14ac:dyDescent="0.25">
      <c r="A891" t="str" cm="1">
        <f t="array" aca="1" ref="A891" ca="1">"a_SL_1_" &amp; INDIRECT("F" &amp; ROW(C891) - 14) &amp; "_p"</f>
        <v>a_SL_1_6_6_p</v>
      </c>
      <c r="B891">
        <v>0</v>
      </c>
      <c r="C891" t="s">
        <v>4</v>
      </c>
      <c r="F891" s="5"/>
    </row>
    <row r="892" spans="1:8" x14ac:dyDescent="0.25">
      <c r="A892" t="str" cm="1">
        <f t="array" aca="1" ref="A892" ca="1">"a_SL_2_" &amp; INDIRECT("F" &amp; ROW(C892) - 15) &amp; "_p"</f>
        <v>a_SL_2_6_6_p</v>
      </c>
      <c r="B892">
        <v>0</v>
      </c>
      <c r="C892" t="s">
        <v>5</v>
      </c>
    </row>
    <row r="893" spans="1:8" x14ac:dyDescent="0.25">
      <c r="A893" t="str" cm="1">
        <f t="array" aca="1" ref="A893" ca="1">"a_SL_3_" &amp; INDIRECT("F" &amp; ROW(C893) - 16) &amp; "_p"</f>
        <v>a_SL_3_6_6_p</v>
      </c>
      <c r="B893">
        <v>2</v>
      </c>
      <c r="C893" t="s">
        <v>6</v>
      </c>
    </row>
    <row r="894" spans="1:8" x14ac:dyDescent="0.25">
      <c r="A894" s="5" t="s">
        <v>95</v>
      </c>
    </row>
    <row r="895" spans="1:8" x14ac:dyDescent="0.25">
      <c r="A895" t="str" cm="1">
        <f t="array" aca="1" ref="A895" ca="1">"a_DRO_1_" &amp; INDIRECT("F" &amp; ROW(C895) - 18) &amp; "_p"</f>
        <v>a_DRO_1_6_6_p</v>
      </c>
      <c r="B895">
        <v>0</v>
      </c>
      <c r="C895" t="s">
        <v>4</v>
      </c>
    </row>
    <row r="896" spans="1:8" x14ac:dyDescent="0.25">
      <c r="A896" t="str" cm="1">
        <f t="array" aca="1" ref="A896" ca="1">"a_DRO_2_" &amp; INDIRECT("F" &amp; ROW(C896) - 19) &amp; "_p"</f>
        <v>a_DRO_2_6_6_p</v>
      </c>
      <c r="B896">
        <v>0</v>
      </c>
      <c r="C896" t="s">
        <v>5</v>
      </c>
    </row>
    <row r="897" spans="1:8" x14ac:dyDescent="0.25">
      <c r="A897" t="str" cm="1">
        <f t="array" aca="1" ref="A897" ca="1">"a_DRO_3_" &amp; INDIRECT("F" &amp; ROW(C897) - 20) &amp; "_p"</f>
        <v>a_DRO_3_6_6_p</v>
      </c>
      <c r="B897">
        <v>2</v>
      </c>
      <c r="C897" t="s">
        <v>6</v>
      </c>
    </row>
    <row r="898" spans="1:8" x14ac:dyDescent="0.25">
      <c r="A898" s="5" t="s">
        <v>96</v>
      </c>
    </row>
    <row r="899" spans="1:8" x14ac:dyDescent="0.25">
      <c r="A899" t="str" cm="1">
        <f t="array" aca="1" ref="A899" ca="1">"a_CYC_1_" &amp; INDIRECT("F" &amp; ROW(C899) - 22) &amp; "_p"</f>
        <v>a_CYC_1_6_6_p</v>
      </c>
      <c r="B899">
        <v>0.1</v>
      </c>
      <c r="C899" t="s">
        <v>4</v>
      </c>
    </row>
    <row r="900" spans="1:8" x14ac:dyDescent="0.25">
      <c r="A900" t="str" cm="1">
        <f t="array" aca="1" ref="A900" ca="1">"a_CYC_2_" &amp; INDIRECT("F" &amp; ROW(C900) - 23) &amp; "_p"</f>
        <v>a_CYC_2_6_6_p</v>
      </c>
      <c r="B900">
        <v>0</v>
      </c>
      <c r="C900" t="s">
        <v>5</v>
      </c>
    </row>
    <row r="901" spans="1:8" x14ac:dyDescent="0.25">
      <c r="A901" t="str" cm="1">
        <f t="array" aca="1" ref="A901" ca="1">"a_CYC_3_" &amp; INDIRECT("F" &amp; ROW(C901) - 24) &amp; "_p"</f>
        <v>a_CYC_3_6_6_p</v>
      </c>
      <c r="B901">
        <v>2</v>
      </c>
      <c r="C901" t="s">
        <v>6</v>
      </c>
    </row>
    <row r="902" spans="1:8" x14ac:dyDescent="0.25">
      <c r="A902" s="31" t="s">
        <v>139</v>
      </c>
      <c r="B902" s="31"/>
      <c r="C902" s="31"/>
      <c r="D902" s="25">
        <v>7</v>
      </c>
      <c r="E902" s="25">
        <v>1</v>
      </c>
      <c r="F902" s="25" t="s">
        <v>174</v>
      </c>
    </row>
    <row r="903" spans="1:8" x14ac:dyDescent="0.25">
      <c r="A903" s="5" t="s">
        <v>3</v>
      </c>
    </row>
    <row r="904" spans="1:8" x14ac:dyDescent="0.25">
      <c r="A904" t="str" cm="1">
        <f t="array" aca="1" ref="A904" ca="1">"a_T_1_" &amp; INDIRECT("F" &amp; ROW(C904)-2) &amp; "_p"</f>
        <v>a_T_1_7_1_p</v>
      </c>
      <c r="B904">
        <v>0</v>
      </c>
      <c r="C904" t="s">
        <v>4</v>
      </c>
    </row>
    <row r="905" spans="1:8" x14ac:dyDescent="0.25">
      <c r="A905" t="str" cm="1">
        <f t="array" aca="1" ref="A905" ca="1">"a_T_2_" &amp; INDIRECT("F" &amp; ROW(C905)-3) &amp; "_p"</f>
        <v>a_T_2_7_1_p</v>
      </c>
      <c r="B905">
        <v>0</v>
      </c>
      <c r="C905" t="s">
        <v>5</v>
      </c>
    </row>
    <row r="906" spans="1:8" x14ac:dyDescent="0.25">
      <c r="A906" t="str" cm="1">
        <f t="array" aca="1" ref="A906" ca="1">"a_T_3_" &amp; INDIRECT("F" &amp; ROW(C906)-4) &amp; "_p"</f>
        <v>a_T_3_7_1_p</v>
      </c>
      <c r="B906">
        <v>2</v>
      </c>
      <c r="C906" t="s">
        <v>6</v>
      </c>
    </row>
    <row r="907" spans="1:8" x14ac:dyDescent="0.25">
      <c r="A907" s="5" t="s">
        <v>8</v>
      </c>
    </row>
    <row r="908" spans="1:8" x14ac:dyDescent="0.25">
      <c r="A908" t="str" cm="1">
        <f t="array" aca="1" ref="A908" ca="1">"a_WS_1_" &amp; INDIRECT("F" &amp; ROW(C908)-6) &amp; "_p"</f>
        <v>a_WS_1_7_1_p</v>
      </c>
      <c r="B908">
        <v>0</v>
      </c>
      <c r="C908" t="s">
        <v>4</v>
      </c>
    </row>
    <row r="909" spans="1:8" x14ac:dyDescent="0.25">
      <c r="A909" t="str" cm="1">
        <f t="array" aca="1" ref="A909" ca="1">"a_WS_2_" &amp; INDIRECT("F" &amp; ROW(C909)-7) &amp; "_p"</f>
        <v>a_WS_2_7_1_p</v>
      </c>
      <c r="B909">
        <v>0</v>
      </c>
      <c r="C909" t="s">
        <v>5</v>
      </c>
    </row>
    <row r="910" spans="1:8" x14ac:dyDescent="0.25">
      <c r="A910" t="str" cm="1">
        <f t="array" aca="1" ref="A910" ca="1">"a_WS_3_" &amp; INDIRECT("F" &amp; ROW(C910)-8) &amp; "_p"</f>
        <v>a_WS_3_7_1_p</v>
      </c>
      <c r="B910">
        <v>2</v>
      </c>
      <c r="C910" t="s">
        <v>6</v>
      </c>
    </row>
    <row r="911" spans="1:8" x14ac:dyDescent="0.25">
      <c r="A911" s="5" t="s">
        <v>7</v>
      </c>
      <c r="G911" s="5"/>
      <c r="H911" s="5"/>
    </row>
    <row r="912" spans="1:8" x14ac:dyDescent="0.25">
      <c r="A912" t="str" cm="1">
        <f t="array" aca="1" ref="A912" ca="1">"a_PREC_1_" &amp; INDIRECT("F" &amp; ROW(C912) - 10) &amp; "_p"</f>
        <v>a_PREC_1_7_1_p</v>
      </c>
      <c r="B912">
        <v>0</v>
      </c>
      <c r="C912" t="s">
        <v>4</v>
      </c>
      <c r="F912" s="5"/>
    </row>
    <row r="913" spans="1:8" x14ac:dyDescent="0.25">
      <c r="A913" t="str" cm="1">
        <f t="array" aca="1" ref="A913" ca="1">"a_PREC_2_" &amp; INDIRECT("F" &amp; ROW(C913) - 11) &amp; "_p"</f>
        <v>a_PREC_2_7_1_p</v>
      </c>
      <c r="B913">
        <v>0</v>
      </c>
      <c r="C913" t="s">
        <v>5</v>
      </c>
    </row>
    <row r="914" spans="1:8" x14ac:dyDescent="0.25">
      <c r="A914" t="str" cm="1">
        <f t="array" aca="1" ref="A914" ca="1">"a_PREC_3_" &amp; INDIRECT("F" &amp; ROW(C914) - 12) &amp; "_p"</f>
        <v>a_PREC_3_7_1_p</v>
      </c>
      <c r="B914">
        <v>2</v>
      </c>
      <c r="C914" t="s">
        <v>6</v>
      </c>
    </row>
    <row r="915" spans="1:8" x14ac:dyDescent="0.25">
      <c r="A915" s="5" t="s">
        <v>9</v>
      </c>
      <c r="G915" s="5"/>
      <c r="H915" s="5"/>
    </row>
    <row r="916" spans="1:8" x14ac:dyDescent="0.25">
      <c r="A916" t="str" cm="1">
        <f t="array" aca="1" ref="A916" ca="1">"a_SL_1_" &amp; INDIRECT("F" &amp; ROW(C916) - 14) &amp; "_p"</f>
        <v>a_SL_1_7_1_p</v>
      </c>
      <c r="B916">
        <v>0</v>
      </c>
      <c r="C916" t="s">
        <v>4</v>
      </c>
      <c r="F916" s="5"/>
    </row>
    <row r="917" spans="1:8" x14ac:dyDescent="0.25">
      <c r="A917" t="str" cm="1">
        <f t="array" aca="1" ref="A917" ca="1">"a_SL_2_" &amp; INDIRECT("F" &amp; ROW(C917) - 15) &amp; "_p"</f>
        <v>a_SL_2_7_1_p</v>
      </c>
      <c r="B917">
        <v>0</v>
      </c>
      <c r="C917" t="s">
        <v>5</v>
      </c>
    </row>
    <row r="918" spans="1:8" x14ac:dyDescent="0.25">
      <c r="A918" t="str" cm="1">
        <f t="array" aca="1" ref="A918" ca="1">"a_SL_3_" &amp; INDIRECT("F" &amp; ROW(C918) - 16) &amp; "_p"</f>
        <v>a_SL_3_7_1_p</v>
      </c>
      <c r="B918">
        <v>2</v>
      </c>
      <c r="C918" t="s">
        <v>6</v>
      </c>
    </row>
    <row r="919" spans="1:8" x14ac:dyDescent="0.25">
      <c r="A919" s="5" t="s">
        <v>95</v>
      </c>
    </row>
    <row r="920" spans="1:8" x14ac:dyDescent="0.25">
      <c r="A920" t="str" cm="1">
        <f t="array" aca="1" ref="A920" ca="1">"a_DRO_1_" &amp; INDIRECT("F" &amp; ROW(C920) - 18) &amp; "_p"</f>
        <v>a_DRO_1_7_1_p</v>
      </c>
      <c r="B920">
        <v>0</v>
      </c>
      <c r="C920" t="s">
        <v>4</v>
      </c>
    </row>
    <row r="921" spans="1:8" x14ac:dyDescent="0.25">
      <c r="A921" t="str" cm="1">
        <f t="array" aca="1" ref="A921" ca="1">"a_DRO_2_" &amp; INDIRECT("F" &amp; ROW(C921) - 19) &amp; "_p"</f>
        <v>a_DRO_2_7_1_p</v>
      </c>
      <c r="B921">
        <v>0</v>
      </c>
      <c r="C921" t="s">
        <v>5</v>
      </c>
    </row>
    <row r="922" spans="1:8" x14ac:dyDescent="0.25">
      <c r="A922" t="str" cm="1">
        <f t="array" aca="1" ref="A922" ca="1">"a_DRO_3_" &amp; INDIRECT("F" &amp; ROW(C922) - 20) &amp; "_p"</f>
        <v>a_DRO_3_7_1_p</v>
      </c>
      <c r="B922">
        <v>2</v>
      </c>
      <c r="C922" t="s">
        <v>6</v>
      </c>
    </row>
    <row r="923" spans="1:8" x14ac:dyDescent="0.25">
      <c r="A923" s="5" t="s">
        <v>96</v>
      </c>
    </row>
    <row r="924" spans="1:8" x14ac:dyDescent="0.25">
      <c r="A924" t="str" cm="1">
        <f t="array" aca="1" ref="A924" ca="1">"a_CYC_1_" &amp; INDIRECT("F" &amp; ROW(C924) - 22) &amp; "_p"</f>
        <v>a_CYC_1_7_1_p</v>
      </c>
      <c r="B924">
        <v>0.1</v>
      </c>
      <c r="C924" t="s">
        <v>4</v>
      </c>
    </row>
    <row r="925" spans="1:8" x14ac:dyDescent="0.25">
      <c r="A925" t="str" cm="1">
        <f t="array" aca="1" ref="A925" ca="1">"a_CYC_2_" &amp; INDIRECT("F" &amp; ROW(C925) - 23) &amp; "_p"</f>
        <v>a_CYC_2_7_1_p</v>
      </c>
      <c r="B925">
        <v>0</v>
      </c>
      <c r="C925" t="s">
        <v>5</v>
      </c>
    </row>
    <row r="926" spans="1:8" x14ac:dyDescent="0.25">
      <c r="A926" t="str" cm="1">
        <f t="array" aca="1" ref="A926" ca="1">"a_CYC_3_" &amp; INDIRECT("F" &amp; ROW(C926) - 24) &amp; "_p"</f>
        <v>a_CYC_3_7_1_p</v>
      </c>
      <c r="B926">
        <v>2</v>
      </c>
      <c r="C926" t="s">
        <v>6</v>
      </c>
    </row>
    <row r="927" spans="1:8" x14ac:dyDescent="0.25">
      <c r="A927" s="31" t="s">
        <v>140</v>
      </c>
      <c r="B927" s="31"/>
      <c r="C927" s="31"/>
      <c r="D927" s="25">
        <v>7</v>
      </c>
      <c r="E927" s="25">
        <v>2</v>
      </c>
      <c r="F927" s="25" t="s">
        <v>173</v>
      </c>
    </row>
    <row r="928" spans="1:8" x14ac:dyDescent="0.25">
      <c r="A928" s="5" t="s">
        <v>3</v>
      </c>
    </row>
    <row r="929" spans="1:8" x14ac:dyDescent="0.25">
      <c r="A929" t="str" cm="1">
        <f t="array" aca="1" ref="A929" ca="1">"a_T_1_" &amp; INDIRECT("F" &amp; ROW(C929)-2) &amp; "_p"</f>
        <v>a_T_1_7_2_p</v>
      </c>
      <c r="B929">
        <v>0</v>
      </c>
      <c r="C929" t="s">
        <v>4</v>
      </c>
    </row>
    <row r="930" spans="1:8" x14ac:dyDescent="0.25">
      <c r="A930" t="str" cm="1">
        <f t="array" aca="1" ref="A930" ca="1">"a_T_2_" &amp; INDIRECT("F" &amp; ROW(C930)-3) &amp; "_p"</f>
        <v>a_T_2_7_2_p</v>
      </c>
      <c r="B930">
        <v>0</v>
      </c>
      <c r="C930" t="s">
        <v>5</v>
      </c>
    </row>
    <row r="931" spans="1:8" x14ac:dyDescent="0.25">
      <c r="A931" t="str" cm="1">
        <f t="array" aca="1" ref="A931" ca="1">"a_T_3_" &amp; INDIRECT("F" &amp; ROW(C931)-4) &amp; "_p"</f>
        <v>a_T_3_7_2_p</v>
      </c>
      <c r="B931">
        <v>2</v>
      </c>
      <c r="C931" t="s">
        <v>6</v>
      </c>
    </row>
    <row r="932" spans="1:8" x14ac:dyDescent="0.25">
      <c r="A932" s="5" t="s">
        <v>8</v>
      </c>
    </row>
    <row r="933" spans="1:8" x14ac:dyDescent="0.25">
      <c r="A933" t="str" cm="1">
        <f t="array" aca="1" ref="A933" ca="1">"a_WS_1_" &amp; INDIRECT("F" &amp; ROW(C933)-6) &amp; "_p"</f>
        <v>a_WS_1_7_2_p</v>
      </c>
      <c r="B933">
        <v>0</v>
      </c>
      <c r="C933" t="s">
        <v>4</v>
      </c>
    </row>
    <row r="934" spans="1:8" x14ac:dyDescent="0.25">
      <c r="A934" t="str" cm="1">
        <f t="array" aca="1" ref="A934" ca="1">"a_WS_2_" &amp; INDIRECT("F" &amp; ROW(C934)-7) &amp; "_p"</f>
        <v>a_WS_2_7_2_p</v>
      </c>
      <c r="B934">
        <v>0</v>
      </c>
      <c r="C934" t="s">
        <v>5</v>
      </c>
    </row>
    <row r="935" spans="1:8" x14ac:dyDescent="0.25">
      <c r="A935" t="str" cm="1">
        <f t="array" aca="1" ref="A935" ca="1">"a_WS_3_" &amp; INDIRECT("F" &amp; ROW(C935)-8) &amp; "_p"</f>
        <v>a_WS_3_7_2_p</v>
      </c>
      <c r="B935">
        <v>2</v>
      </c>
      <c r="C935" t="s">
        <v>6</v>
      </c>
    </row>
    <row r="936" spans="1:8" x14ac:dyDescent="0.25">
      <c r="A936" s="5" t="s">
        <v>7</v>
      </c>
      <c r="G936" s="5"/>
      <c r="H936" s="5"/>
    </row>
    <row r="937" spans="1:8" x14ac:dyDescent="0.25">
      <c r="A937" t="str" cm="1">
        <f t="array" aca="1" ref="A937" ca="1">"a_PREC_1_" &amp; INDIRECT("F" &amp; ROW(C937) - 10) &amp; "_p"</f>
        <v>a_PREC_1_7_2_p</v>
      </c>
      <c r="B937">
        <v>0</v>
      </c>
      <c r="C937" t="s">
        <v>4</v>
      </c>
      <c r="F937" s="5"/>
    </row>
    <row r="938" spans="1:8" x14ac:dyDescent="0.25">
      <c r="A938" t="str" cm="1">
        <f t="array" aca="1" ref="A938" ca="1">"a_PREC_2_" &amp; INDIRECT("F" &amp; ROW(C938) - 11) &amp; "_p"</f>
        <v>a_PREC_2_7_2_p</v>
      </c>
      <c r="B938">
        <v>0</v>
      </c>
      <c r="C938" t="s">
        <v>5</v>
      </c>
    </row>
    <row r="939" spans="1:8" x14ac:dyDescent="0.25">
      <c r="A939" t="str" cm="1">
        <f t="array" aca="1" ref="A939" ca="1">"a_PREC_3_" &amp; INDIRECT("F" &amp; ROW(C939) - 12) &amp; "_p"</f>
        <v>a_PREC_3_7_2_p</v>
      </c>
      <c r="B939">
        <v>2</v>
      </c>
      <c r="C939" t="s">
        <v>6</v>
      </c>
    </row>
    <row r="940" spans="1:8" x14ac:dyDescent="0.25">
      <c r="A940" s="5" t="s">
        <v>9</v>
      </c>
      <c r="G940" s="5"/>
      <c r="H940" s="5"/>
    </row>
    <row r="941" spans="1:8" x14ac:dyDescent="0.25">
      <c r="A941" t="str" cm="1">
        <f t="array" aca="1" ref="A941" ca="1">"a_SL_1_" &amp; INDIRECT("F" &amp; ROW(C941) - 14) &amp; "_p"</f>
        <v>a_SL_1_7_2_p</v>
      </c>
      <c r="B941">
        <v>0</v>
      </c>
      <c r="C941" t="s">
        <v>4</v>
      </c>
      <c r="F941" s="5"/>
    </row>
    <row r="942" spans="1:8" x14ac:dyDescent="0.25">
      <c r="A942" t="str" cm="1">
        <f t="array" aca="1" ref="A942" ca="1">"a_SL_2_" &amp; INDIRECT("F" &amp; ROW(C942) - 15) &amp; "_p"</f>
        <v>a_SL_2_7_2_p</v>
      </c>
      <c r="B942">
        <v>0</v>
      </c>
      <c r="C942" t="s">
        <v>5</v>
      </c>
    </row>
    <row r="943" spans="1:8" x14ac:dyDescent="0.25">
      <c r="A943" t="str" cm="1">
        <f t="array" aca="1" ref="A943" ca="1">"a_SL_3_" &amp; INDIRECT("F" &amp; ROW(C943) - 16) &amp; "_p"</f>
        <v>a_SL_3_7_2_p</v>
      </c>
      <c r="B943">
        <v>2</v>
      </c>
      <c r="C943" t="s">
        <v>6</v>
      </c>
    </row>
    <row r="944" spans="1:8" x14ac:dyDescent="0.25">
      <c r="A944" s="5" t="s">
        <v>95</v>
      </c>
    </row>
    <row r="945" spans="1:6" x14ac:dyDescent="0.25">
      <c r="A945" t="str" cm="1">
        <f t="array" aca="1" ref="A945" ca="1">"a_DRO_1_" &amp; INDIRECT("F" &amp; ROW(C945) - 18) &amp; "_p"</f>
        <v>a_DRO_1_7_2_p</v>
      </c>
      <c r="B945">
        <v>0</v>
      </c>
      <c r="C945" t="s">
        <v>4</v>
      </c>
    </row>
    <row r="946" spans="1:6" x14ac:dyDescent="0.25">
      <c r="A946" t="str" cm="1">
        <f t="array" aca="1" ref="A946" ca="1">"a_DRO_2_" &amp; INDIRECT("F" &amp; ROW(C946) - 19) &amp; "_p"</f>
        <v>a_DRO_2_7_2_p</v>
      </c>
      <c r="B946">
        <v>0</v>
      </c>
      <c r="C946" t="s">
        <v>5</v>
      </c>
    </row>
    <row r="947" spans="1:6" x14ac:dyDescent="0.25">
      <c r="A947" t="str" cm="1">
        <f t="array" aca="1" ref="A947" ca="1">"a_DRO_3_" &amp; INDIRECT("F" &amp; ROW(C947) - 20) &amp; "_p"</f>
        <v>a_DRO_3_7_2_p</v>
      </c>
      <c r="B947">
        <v>2</v>
      </c>
      <c r="C947" t="s">
        <v>6</v>
      </c>
    </row>
    <row r="948" spans="1:6" x14ac:dyDescent="0.25">
      <c r="A948" s="5" t="s">
        <v>96</v>
      </c>
    </row>
    <row r="949" spans="1:6" x14ac:dyDescent="0.25">
      <c r="A949" t="str" cm="1">
        <f t="array" aca="1" ref="A949" ca="1">"a_CYC_1_" &amp; INDIRECT("F" &amp; ROW(C949) - 22) &amp; "_p"</f>
        <v>a_CYC_1_7_2_p</v>
      </c>
      <c r="B949">
        <v>0.1</v>
      </c>
      <c r="C949" t="s">
        <v>4</v>
      </c>
    </row>
    <row r="950" spans="1:6" x14ac:dyDescent="0.25">
      <c r="A950" t="str" cm="1">
        <f t="array" aca="1" ref="A950" ca="1">"a_CYC_2_" &amp; INDIRECT("F" &amp; ROW(C950) - 23) &amp; "_p"</f>
        <v>a_CYC_2_7_2_p</v>
      </c>
      <c r="B950">
        <v>0</v>
      </c>
      <c r="C950" t="s">
        <v>5</v>
      </c>
    </row>
    <row r="951" spans="1:6" x14ac:dyDescent="0.25">
      <c r="A951" t="str" cm="1">
        <f t="array" aca="1" ref="A951" ca="1">"a_CYC_3_" &amp; INDIRECT("F" &amp; ROW(C951) - 24) &amp; "_p"</f>
        <v>a_CYC_3_7_2_p</v>
      </c>
      <c r="B951">
        <v>2</v>
      </c>
      <c r="C951" t="s">
        <v>6</v>
      </c>
    </row>
    <row r="952" spans="1:6" x14ac:dyDescent="0.25">
      <c r="A952" s="31" t="s">
        <v>141</v>
      </c>
      <c r="B952" s="31"/>
      <c r="C952" s="31"/>
      <c r="D952" s="25">
        <v>7</v>
      </c>
      <c r="E952" s="25">
        <v>3</v>
      </c>
      <c r="F952" s="25" t="s">
        <v>172</v>
      </c>
    </row>
    <row r="953" spans="1:6" x14ac:dyDescent="0.25">
      <c r="A953" s="5" t="s">
        <v>3</v>
      </c>
    </row>
    <row r="954" spans="1:6" x14ac:dyDescent="0.25">
      <c r="A954" t="str" cm="1">
        <f t="array" aca="1" ref="A954" ca="1">"a_T_1_" &amp; INDIRECT("F" &amp; ROW(C954)-2) &amp; "_p"</f>
        <v>a_T_1_7_3_p</v>
      </c>
      <c r="B954">
        <v>0</v>
      </c>
      <c r="C954" t="s">
        <v>4</v>
      </c>
    </row>
    <row r="955" spans="1:6" x14ac:dyDescent="0.25">
      <c r="A955" t="str" cm="1">
        <f t="array" aca="1" ref="A955" ca="1">"a_T_2_" &amp; INDIRECT("F" &amp; ROW(C955)-3) &amp; "_p"</f>
        <v>a_T_2_7_3_p</v>
      </c>
      <c r="B955">
        <v>0</v>
      </c>
      <c r="C955" t="s">
        <v>5</v>
      </c>
    </row>
    <row r="956" spans="1:6" x14ac:dyDescent="0.25">
      <c r="A956" t="str" cm="1">
        <f t="array" aca="1" ref="A956" ca="1">"a_T_3_" &amp; INDIRECT("F" &amp; ROW(C956)-4) &amp; "_p"</f>
        <v>a_T_3_7_3_p</v>
      </c>
      <c r="B956">
        <v>2</v>
      </c>
      <c r="C956" t="s">
        <v>6</v>
      </c>
    </row>
    <row r="957" spans="1:6" x14ac:dyDescent="0.25">
      <c r="A957" s="5" t="s">
        <v>8</v>
      </c>
    </row>
    <row r="958" spans="1:6" x14ac:dyDescent="0.25">
      <c r="A958" t="str" cm="1">
        <f t="array" aca="1" ref="A958" ca="1">"a_WS_1_" &amp; INDIRECT("F" &amp; ROW(C958)-6) &amp; "_p"</f>
        <v>a_WS_1_7_3_p</v>
      </c>
      <c r="B958">
        <v>0</v>
      </c>
      <c r="C958" t="s">
        <v>4</v>
      </c>
    </row>
    <row r="959" spans="1:6" x14ac:dyDescent="0.25">
      <c r="A959" t="str" cm="1">
        <f t="array" aca="1" ref="A959" ca="1">"a_WS_2_" &amp; INDIRECT("F" &amp; ROW(C959)-7) &amp; "_p"</f>
        <v>a_WS_2_7_3_p</v>
      </c>
      <c r="B959">
        <v>0</v>
      </c>
      <c r="C959" t="s">
        <v>5</v>
      </c>
    </row>
    <row r="960" spans="1:6" x14ac:dyDescent="0.25">
      <c r="A960" t="str" cm="1">
        <f t="array" aca="1" ref="A960" ca="1">"a_WS_3_" &amp; INDIRECT("F" &amp; ROW(C960)-8) &amp; "_p"</f>
        <v>a_WS_3_7_3_p</v>
      </c>
      <c r="B960">
        <v>2</v>
      </c>
      <c r="C960" t="s">
        <v>6</v>
      </c>
    </row>
    <row r="961" spans="1:8" x14ac:dyDescent="0.25">
      <c r="A961" s="5" t="s">
        <v>7</v>
      </c>
      <c r="G961" s="5"/>
      <c r="H961" s="5"/>
    </row>
    <row r="962" spans="1:8" x14ac:dyDescent="0.25">
      <c r="A962" t="str" cm="1">
        <f t="array" aca="1" ref="A962" ca="1">"a_PREC_1_" &amp; INDIRECT("F" &amp; ROW(C962) - 10) &amp; "_p"</f>
        <v>a_PREC_1_7_3_p</v>
      </c>
      <c r="B962">
        <v>0</v>
      </c>
      <c r="C962" t="s">
        <v>4</v>
      </c>
      <c r="F962" s="5"/>
    </row>
    <row r="963" spans="1:8" x14ac:dyDescent="0.25">
      <c r="A963" t="str" cm="1">
        <f t="array" aca="1" ref="A963" ca="1">"a_PREC_2_" &amp; INDIRECT("F" &amp; ROW(C963) - 11) &amp; "_p"</f>
        <v>a_PREC_2_7_3_p</v>
      </c>
      <c r="B963">
        <v>0</v>
      </c>
      <c r="C963" t="s">
        <v>5</v>
      </c>
    </row>
    <row r="964" spans="1:8" x14ac:dyDescent="0.25">
      <c r="A964" t="str" cm="1">
        <f t="array" aca="1" ref="A964" ca="1">"a_PREC_3_" &amp; INDIRECT("F" &amp; ROW(C964) - 12) &amp; "_p"</f>
        <v>a_PREC_3_7_3_p</v>
      </c>
      <c r="B964">
        <v>2</v>
      </c>
      <c r="C964" t="s">
        <v>6</v>
      </c>
    </row>
    <row r="965" spans="1:8" x14ac:dyDescent="0.25">
      <c r="A965" s="5" t="s">
        <v>9</v>
      </c>
      <c r="G965" s="5"/>
      <c r="H965" s="5"/>
    </row>
    <row r="966" spans="1:8" x14ac:dyDescent="0.25">
      <c r="A966" t="str" cm="1">
        <f t="array" aca="1" ref="A966" ca="1">"a_SL_1_" &amp; INDIRECT("F" &amp; ROW(C966) - 14) &amp; "_p"</f>
        <v>a_SL_1_7_3_p</v>
      </c>
      <c r="B966">
        <v>0</v>
      </c>
      <c r="C966" t="s">
        <v>4</v>
      </c>
      <c r="F966" s="5"/>
    </row>
    <row r="967" spans="1:8" x14ac:dyDescent="0.25">
      <c r="A967" t="str" cm="1">
        <f t="array" aca="1" ref="A967" ca="1">"a_SL_2_" &amp; INDIRECT("F" &amp; ROW(C967) - 15) &amp; "_p"</f>
        <v>a_SL_2_7_3_p</v>
      </c>
      <c r="B967">
        <v>0</v>
      </c>
      <c r="C967" t="s">
        <v>5</v>
      </c>
    </row>
    <row r="968" spans="1:8" x14ac:dyDescent="0.25">
      <c r="A968" t="str" cm="1">
        <f t="array" aca="1" ref="A968" ca="1">"a_SL_3_" &amp; INDIRECT("F" &amp; ROW(C968) - 16) &amp; "_p"</f>
        <v>a_SL_3_7_3_p</v>
      </c>
      <c r="B968">
        <v>2</v>
      </c>
      <c r="C968" t="s">
        <v>6</v>
      </c>
    </row>
    <row r="969" spans="1:8" x14ac:dyDescent="0.25">
      <c r="A969" s="5" t="s">
        <v>95</v>
      </c>
    </row>
    <row r="970" spans="1:8" x14ac:dyDescent="0.25">
      <c r="A970" t="str" cm="1">
        <f t="array" aca="1" ref="A970" ca="1">"a_DRO_1_" &amp; INDIRECT("F" &amp; ROW(C970) - 18) &amp; "_p"</f>
        <v>a_DRO_1_7_3_p</v>
      </c>
      <c r="B970">
        <v>0</v>
      </c>
      <c r="C970" t="s">
        <v>4</v>
      </c>
    </row>
    <row r="971" spans="1:8" x14ac:dyDescent="0.25">
      <c r="A971" t="str" cm="1">
        <f t="array" aca="1" ref="A971" ca="1">"a_DRO_2_" &amp; INDIRECT("F" &amp; ROW(C971) - 19) &amp; "_p"</f>
        <v>a_DRO_2_7_3_p</v>
      </c>
      <c r="B971">
        <v>0</v>
      </c>
      <c r="C971" t="s">
        <v>5</v>
      </c>
    </row>
    <row r="972" spans="1:8" x14ac:dyDescent="0.25">
      <c r="A972" t="str" cm="1">
        <f t="array" aca="1" ref="A972" ca="1">"a_DRO_3_" &amp; INDIRECT("F" &amp; ROW(C972) - 20) &amp; "_p"</f>
        <v>a_DRO_3_7_3_p</v>
      </c>
      <c r="B972">
        <v>2</v>
      </c>
      <c r="C972" t="s">
        <v>6</v>
      </c>
    </row>
    <row r="973" spans="1:8" x14ac:dyDescent="0.25">
      <c r="A973" s="5" t="s">
        <v>96</v>
      </c>
    </row>
    <row r="974" spans="1:8" x14ac:dyDescent="0.25">
      <c r="A974" t="str" cm="1">
        <f t="array" aca="1" ref="A974" ca="1">"a_CYC_1_" &amp; INDIRECT("F" &amp; ROW(C974) - 22) &amp; "_p"</f>
        <v>a_CYC_1_7_3_p</v>
      </c>
      <c r="B974">
        <v>0.1</v>
      </c>
      <c r="C974" t="s">
        <v>4</v>
      </c>
    </row>
    <row r="975" spans="1:8" x14ac:dyDescent="0.25">
      <c r="A975" t="str" cm="1">
        <f t="array" aca="1" ref="A975" ca="1">"a_CYC_2_" &amp; INDIRECT("F" &amp; ROW(C975) - 23) &amp; "_p"</f>
        <v>a_CYC_2_7_3_p</v>
      </c>
      <c r="B975">
        <v>0</v>
      </c>
      <c r="C975" t="s">
        <v>5</v>
      </c>
    </row>
    <row r="976" spans="1:8" x14ac:dyDescent="0.25">
      <c r="A976" t="str" cm="1">
        <f t="array" aca="1" ref="A976" ca="1">"a_CYC_3_" &amp; INDIRECT("F" &amp; ROW(C976) - 24) &amp; "_p"</f>
        <v>a_CYC_3_7_3_p</v>
      </c>
      <c r="B976">
        <v>2</v>
      </c>
      <c r="C976" t="s">
        <v>6</v>
      </c>
    </row>
    <row r="977" spans="1:8" x14ac:dyDescent="0.25">
      <c r="A977" s="31" t="s">
        <v>142</v>
      </c>
      <c r="B977" s="31"/>
      <c r="C977" s="31"/>
      <c r="D977" s="25">
        <v>7</v>
      </c>
      <c r="E977" s="25">
        <v>4</v>
      </c>
      <c r="F977" s="25" t="s">
        <v>171</v>
      </c>
    </row>
    <row r="978" spans="1:8" x14ac:dyDescent="0.25">
      <c r="A978" s="5" t="s">
        <v>3</v>
      </c>
    </row>
    <row r="979" spans="1:8" x14ac:dyDescent="0.25">
      <c r="A979" t="str" cm="1">
        <f t="array" aca="1" ref="A979" ca="1">"a_T_1_" &amp; INDIRECT("F" &amp; ROW(C979)-2) &amp; "_p"</f>
        <v>a_T_1_7_4_p</v>
      </c>
      <c r="B979">
        <v>0</v>
      </c>
      <c r="C979" t="s">
        <v>4</v>
      </c>
    </row>
    <row r="980" spans="1:8" x14ac:dyDescent="0.25">
      <c r="A980" t="str" cm="1">
        <f t="array" aca="1" ref="A980" ca="1">"a_T_2_" &amp; INDIRECT("F" &amp; ROW(C980)-3) &amp; "_p"</f>
        <v>a_T_2_7_4_p</v>
      </c>
      <c r="B980">
        <v>0</v>
      </c>
      <c r="C980" t="s">
        <v>5</v>
      </c>
    </row>
    <row r="981" spans="1:8" x14ac:dyDescent="0.25">
      <c r="A981" t="str" cm="1">
        <f t="array" aca="1" ref="A981" ca="1">"a_T_3_" &amp; INDIRECT("F" &amp; ROW(C981)-4) &amp; "_p"</f>
        <v>a_T_3_7_4_p</v>
      </c>
      <c r="B981">
        <v>2</v>
      </c>
      <c r="C981" t="s">
        <v>6</v>
      </c>
    </row>
    <row r="982" spans="1:8" x14ac:dyDescent="0.25">
      <c r="A982" s="5" t="s">
        <v>8</v>
      </c>
    </row>
    <row r="983" spans="1:8" x14ac:dyDescent="0.25">
      <c r="A983" t="str" cm="1">
        <f t="array" aca="1" ref="A983" ca="1">"a_WS_1_" &amp; INDIRECT("F" &amp; ROW(C983)-6) &amp; "_p"</f>
        <v>a_WS_1_7_4_p</v>
      </c>
      <c r="B983">
        <v>0</v>
      </c>
      <c r="C983" t="s">
        <v>4</v>
      </c>
    </row>
    <row r="984" spans="1:8" x14ac:dyDescent="0.25">
      <c r="A984" t="str" cm="1">
        <f t="array" aca="1" ref="A984" ca="1">"a_WS_2_" &amp; INDIRECT("F" &amp; ROW(C984)-7) &amp; "_p"</f>
        <v>a_WS_2_7_4_p</v>
      </c>
      <c r="B984">
        <v>0</v>
      </c>
      <c r="C984" t="s">
        <v>5</v>
      </c>
    </row>
    <row r="985" spans="1:8" x14ac:dyDescent="0.25">
      <c r="A985" t="str" cm="1">
        <f t="array" aca="1" ref="A985" ca="1">"a_WS_3_" &amp; INDIRECT("F" &amp; ROW(C985)-8) &amp; "_p"</f>
        <v>a_WS_3_7_4_p</v>
      </c>
      <c r="B985">
        <v>2</v>
      </c>
      <c r="C985" t="s">
        <v>6</v>
      </c>
    </row>
    <row r="986" spans="1:8" x14ac:dyDescent="0.25">
      <c r="A986" s="5" t="s">
        <v>7</v>
      </c>
      <c r="G986" s="5"/>
      <c r="H986" s="5"/>
    </row>
    <row r="987" spans="1:8" x14ac:dyDescent="0.25">
      <c r="A987" t="str" cm="1">
        <f t="array" aca="1" ref="A987" ca="1">"a_PREC_1_" &amp; INDIRECT("F" &amp; ROW(C987) - 10) &amp; "_p"</f>
        <v>a_PREC_1_7_4_p</v>
      </c>
      <c r="B987">
        <v>0</v>
      </c>
      <c r="C987" t="s">
        <v>4</v>
      </c>
      <c r="F987" s="5"/>
    </row>
    <row r="988" spans="1:8" x14ac:dyDescent="0.25">
      <c r="A988" t="str" cm="1">
        <f t="array" aca="1" ref="A988" ca="1">"a_PREC_2_" &amp; INDIRECT("F" &amp; ROW(C988) - 11) &amp; "_p"</f>
        <v>a_PREC_2_7_4_p</v>
      </c>
      <c r="B988">
        <v>0</v>
      </c>
      <c r="C988" t="s">
        <v>5</v>
      </c>
    </row>
    <row r="989" spans="1:8" x14ac:dyDescent="0.25">
      <c r="A989" t="str" cm="1">
        <f t="array" aca="1" ref="A989" ca="1">"a_PREC_3_" &amp; INDIRECT("F" &amp; ROW(C989) - 12) &amp; "_p"</f>
        <v>a_PREC_3_7_4_p</v>
      </c>
      <c r="B989">
        <v>2</v>
      </c>
      <c r="C989" t="s">
        <v>6</v>
      </c>
    </row>
    <row r="990" spans="1:8" x14ac:dyDescent="0.25">
      <c r="A990" s="5" t="s">
        <v>9</v>
      </c>
      <c r="G990" s="5"/>
      <c r="H990" s="5"/>
    </row>
    <row r="991" spans="1:8" x14ac:dyDescent="0.25">
      <c r="A991" t="str" cm="1">
        <f t="array" aca="1" ref="A991" ca="1">"a_SL_1_" &amp; INDIRECT("F" &amp; ROW(C991) - 14) &amp; "_p"</f>
        <v>a_SL_1_7_4_p</v>
      </c>
      <c r="B991">
        <v>0</v>
      </c>
      <c r="C991" t="s">
        <v>4</v>
      </c>
      <c r="F991" s="5"/>
    </row>
    <row r="992" spans="1:8" x14ac:dyDescent="0.25">
      <c r="A992" t="str" cm="1">
        <f t="array" aca="1" ref="A992" ca="1">"a_SL_2_" &amp; INDIRECT("F" &amp; ROW(C992) - 15) &amp; "_p"</f>
        <v>a_SL_2_7_4_p</v>
      </c>
      <c r="B992">
        <v>0</v>
      </c>
      <c r="C992" t="s">
        <v>5</v>
      </c>
    </row>
    <row r="993" spans="1:6" x14ac:dyDescent="0.25">
      <c r="A993" t="str" cm="1">
        <f t="array" aca="1" ref="A993" ca="1">"a_SL_3_" &amp; INDIRECT("F" &amp; ROW(C993) - 16) &amp; "_p"</f>
        <v>a_SL_3_7_4_p</v>
      </c>
      <c r="B993">
        <v>2</v>
      </c>
      <c r="C993" t="s">
        <v>6</v>
      </c>
    </row>
    <row r="994" spans="1:6" x14ac:dyDescent="0.25">
      <c r="A994" s="5" t="s">
        <v>95</v>
      </c>
    </row>
    <row r="995" spans="1:6" x14ac:dyDescent="0.25">
      <c r="A995" t="str" cm="1">
        <f t="array" aca="1" ref="A995" ca="1">"a_DRO_1_" &amp; INDIRECT("F" &amp; ROW(C995) - 18) &amp; "_p"</f>
        <v>a_DRO_1_7_4_p</v>
      </c>
      <c r="B995">
        <v>0</v>
      </c>
      <c r="C995" t="s">
        <v>4</v>
      </c>
    </row>
    <row r="996" spans="1:6" x14ac:dyDescent="0.25">
      <c r="A996" t="str" cm="1">
        <f t="array" aca="1" ref="A996" ca="1">"a_DRO_2_" &amp; INDIRECT("F" &amp; ROW(C996) - 19) &amp; "_p"</f>
        <v>a_DRO_2_7_4_p</v>
      </c>
      <c r="B996">
        <v>0</v>
      </c>
      <c r="C996" t="s">
        <v>5</v>
      </c>
    </row>
    <row r="997" spans="1:6" x14ac:dyDescent="0.25">
      <c r="A997" t="str" cm="1">
        <f t="array" aca="1" ref="A997" ca="1">"a_DRO_3_" &amp; INDIRECT("F" &amp; ROW(C997) - 20) &amp; "_p"</f>
        <v>a_DRO_3_7_4_p</v>
      </c>
      <c r="B997">
        <v>2</v>
      </c>
      <c r="C997" t="s">
        <v>6</v>
      </c>
    </row>
    <row r="998" spans="1:6" x14ac:dyDescent="0.25">
      <c r="A998" s="5" t="s">
        <v>96</v>
      </c>
    </row>
    <row r="999" spans="1:6" x14ac:dyDescent="0.25">
      <c r="A999" t="str" cm="1">
        <f t="array" aca="1" ref="A999" ca="1">"a_CYC_1_" &amp; INDIRECT("F" &amp; ROW(C999) - 22) &amp; "_p"</f>
        <v>a_CYC_1_7_4_p</v>
      </c>
      <c r="B999">
        <v>0.1</v>
      </c>
      <c r="C999" t="s">
        <v>4</v>
      </c>
    </row>
    <row r="1000" spans="1:6" x14ac:dyDescent="0.25">
      <c r="A1000" t="str" cm="1">
        <f t="array" aca="1" ref="A1000" ca="1">"a_CYC_2_" &amp; INDIRECT("F" &amp; ROW(C1000) - 23) &amp; "_p"</f>
        <v>a_CYC_2_7_4_p</v>
      </c>
      <c r="B1000">
        <v>0</v>
      </c>
      <c r="C1000" t="s">
        <v>5</v>
      </c>
    </row>
    <row r="1001" spans="1:6" x14ac:dyDescent="0.25">
      <c r="A1001" t="str" cm="1">
        <f t="array" aca="1" ref="A1001" ca="1">"a_CYC_3_" &amp; INDIRECT("F" &amp; ROW(C1001) - 24) &amp; "_p"</f>
        <v>a_CYC_3_7_4_p</v>
      </c>
      <c r="B1001">
        <v>2</v>
      </c>
      <c r="C1001" t="s">
        <v>6</v>
      </c>
    </row>
    <row r="1002" spans="1:6" x14ac:dyDescent="0.25">
      <c r="A1002" s="31" t="s">
        <v>143</v>
      </c>
      <c r="B1002" s="31"/>
      <c r="C1002" s="31"/>
      <c r="D1002" s="25">
        <v>7</v>
      </c>
      <c r="E1002" s="25">
        <v>5</v>
      </c>
      <c r="F1002" s="25" t="s">
        <v>170</v>
      </c>
    </row>
    <row r="1003" spans="1:6" x14ac:dyDescent="0.25">
      <c r="A1003" s="5" t="s">
        <v>3</v>
      </c>
    </row>
    <row r="1004" spans="1:6" x14ac:dyDescent="0.25">
      <c r="A1004" t="str" cm="1">
        <f t="array" aca="1" ref="A1004" ca="1">"a_T_1_" &amp; INDIRECT("F" &amp; ROW(C1004)-2) &amp; "_p"</f>
        <v>a_T_1_7_5_p</v>
      </c>
      <c r="B1004">
        <v>0</v>
      </c>
      <c r="C1004" t="s">
        <v>4</v>
      </c>
    </row>
    <row r="1005" spans="1:6" x14ac:dyDescent="0.25">
      <c r="A1005" t="str" cm="1">
        <f t="array" aca="1" ref="A1005" ca="1">"a_T_2_" &amp; INDIRECT("F" &amp; ROW(C1005)-3) &amp; "_p"</f>
        <v>a_T_2_7_5_p</v>
      </c>
      <c r="B1005">
        <v>0</v>
      </c>
      <c r="C1005" t="s">
        <v>5</v>
      </c>
    </row>
    <row r="1006" spans="1:6" x14ac:dyDescent="0.25">
      <c r="A1006" t="str" cm="1">
        <f t="array" aca="1" ref="A1006" ca="1">"a_T_3_" &amp; INDIRECT("F" &amp; ROW(C1006)-4) &amp; "_p"</f>
        <v>a_T_3_7_5_p</v>
      </c>
      <c r="B1006">
        <v>2</v>
      </c>
      <c r="C1006" t="s">
        <v>6</v>
      </c>
    </row>
    <row r="1007" spans="1:6" x14ac:dyDescent="0.25">
      <c r="A1007" s="5" t="s">
        <v>8</v>
      </c>
    </row>
    <row r="1008" spans="1:6" x14ac:dyDescent="0.25">
      <c r="A1008" t="str" cm="1">
        <f t="array" aca="1" ref="A1008" ca="1">"a_WS_1_" &amp; INDIRECT("F" &amp; ROW(C1008)-6) &amp; "_p"</f>
        <v>a_WS_1_7_5_p</v>
      </c>
      <c r="B1008">
        <v>0</v>
      </c>
      <c r="C1008" t="s">
        <v>4</v>
      </c>
    </row>
    <row r="1009" spans="1:8" x14ac:dyDescent="0.25">
      <c r="A1009" t="str" cm="1">
        <f t="array" aca="1" ref="A1009" ca="1">"a_WS_2_" &amp; INDIRECT("F" &amp; ROW(C1009)-7) &amp; "_p"</f>
        <v>a_WS_2_7_5_p</v>
      </c>
      <c r="B1009">
        <v>0</v>
      </c>
      <c r="C1009" t="s">
        <v>5</v>
      </c>
    </row>
    <row r="1010" spans="1:8" x14ac:dyDescent="0.25">
      <c r="A1010" t="str" cm="1">
        <f t="array" aca="1" ref="A1010" ca="1">"a_WS_3_" &amp; INDIRECT("F" &amp; ROW(C1010)-8) &amp; "_p"</f>
        <v>a_WS_3_7_5_p</v>
      </c>
      <c r="B1010">
        <v>2</v>
      </c>
      <c r="C1010" t="s">
        <v>6</v>
      </c>
    </row>
    <row r="1011" spans="1:8" x14ac:dyDescent="0.25">
      <c r="A1011" s="5" t="s">
        <v>7</v>
      </c>
      <c r="G1011" s="5"/>
      <c r="H1011" s="5"/>
    </row>
    <row r="1012" spans="1:8" x14ac:dyDescent="0.25">
      <c r="A1012" t="str" cm="1">
        <f t="array" aca="1" ref="A1012" ca="1">"a_PREC_1_" &amp; INDIRECT("F" &amp; ROW(C1012) - 10) &amp; "_p"</f>
        <v>a_PREC_1_7_5_p</v>
      </c>
      <c r="B1012">
        <v>0</v>
      </c>
      <c r="C1012" t="s">
        <v>4</v>
      </c>
      <c r="F1012" s="5"/>
    </row>
    <row r="1013" spans="1:8" x14ac:dyDescent="0.25">
      <c r="A1013" t="str" cm="1">
        <f t="array" aca="1" ref="A1013" ca="1">"a_PREC_2_" &amp; INDIRECT("F" &amp; ROW(C1013) - 11) &amp; "_p"</f>
        <v>a_PREC_2_7_5_p</v>
      </c>
      <c r="B1013">
        <v>0</v>
      </c>
      <c r="C1013" t="s">
        <v>5</v>
      </c>
    </row>
    <row r="1014" spans="1:8" x14ac:dyDescent="0.25">
      <c r="A1014" t="str" cm="1">
        <f t="array" aca="1" ref="A1014" ca="1">"a_PREC_3_" &amp; INDIRECT("F" &amp; ROW(C1014) - 12) &amp; "_p"</f>
        <v>a_PREC_3_7_5_p</v>
      </c>
      <c r="B1014">
        <v>2</v>
      </c>
      <c r="C1014" t="s">
        <v>6</v>
      </c>
    </row>
    <row r="1015" spans="1:8" x14ac:dyDescent="0.25">
      <c r="A1015" s="5" t="s">
        <v>9</v>
      </c>
      <c r="G1015" s="5"/>
      <c r="H1015" s="5"/>
    </row>
    <row r="1016" spans="1:8" x14ac:dyDescent="0.25">
      <c r="A1016" t="str" cm="1">
        <f t="array" aca="1" ref="A1016" ca="1">"a_SL_1_" &amp; INDIRECT("F" &amp; ROW(C1016) - 14) &amp; "_p"</f>
        <v>a_SL_1_7_5_p</v>
      </c>
      <c r="B1016">
        <v>0</v>
      </c>
      <c r="C1016" t="s">
        <v>4</v>
      </c>
      <c r="F1016" s="5"/>
    </row>
    <row r="1017" spans="1:8" x14ac:dyDescent="0.25">
      <c r="A1017" t="str" cm="1">
        <f t="array" aca="1" ref="A1017" ca="1">"a_SL_2_" &amp; INDIRECT("F" &amp; ROW(C1017) - 15) &amp; "_p"</f>
        <v>a_SL_2_7_5_p</v>
      </c>
      <c r="B1017">
        <v>0</v>
      </c>
      <c r="C1017" t="s">
        <v>5</v>
      </c>
    </row>
    <row r="1018" spans="1:8" x14ac:dyDescent="0.25">
      <c r="A1018" t="str" cm="1">
        <f t="array" aca="1" ref="A1018" ca="1">"a_SL_3_" &amp; INDIRECT("F" &amp; ROW(C1018) - 16) &amp; "_p"</f>
        <v>a_SL_3_7_5_p</v>
      </c>
      <c r="B1018">
        <v>2</v>
      </c>
      <c r="C1018" t="s">
        <v>6</v>
      </c>
    </row>
    <row r="1019" spans="1:8" x14ac:dyDescent="0.25">
      <c r="A1019" s="5" t="s">
        <v>95</v>
      </c>
    </row>
    <row r="1020" spans="1:8" x14ac:dyDescent="0.25">
      <c r="A1020" t="str" cm="1">
        <f t="array" aca="1" ref="A1020" ca="1">"a_DRO_1_" &amp; INDIRECT("F" &amp; ROW(C1020) - 18) &amp; "_p"</f>
        <v>a_DRO_1_7_5_p</v>
      </c>
      <c r="B1020">
        <v>0</v>
      </c>
      <c r="C1020" t="s">
        <v>4</v>
      </c>
    </row>
    <row r="1021" spans="1:8" x14ac:dyDescent="0.25">
      <c r="A1021" t="str" cm="1">
        <f t="array" aca="1" ref="A1021" ca="1">"a_DRO_2_" &amp; INDIRECT("F" &amp; ROW(C1021) - 19) &amp; "_p"</f>
        <v>a_DRO_2_7_5_p</v>
      </c>
      <c r="B1021">
        <v>0</v>
      </c>
      <c r="C1021" t="s">
        <v>5</v>
      </c>
    </row>
    <row r="1022" spans="1:8" x14ac:dyDescent="0.25">
      <c r="A1022" t="str" cm="1">
        <f t="array" aca="1" ref="A1022" ca="1">"a_DRO_3_" &amp; INDIRECT("F" &amp; ROW(C1022) - 20) &amp; "_p"</f>
        <v>a_DRO_3_7_5_p</v>
      </c>
      <c r="B1022">
        <v>2</v>
      </c>
      <c r="C1022" t="s">
        <v>6</v>
      </c>
    </row>
    <row r="1023" spans="1:8" x14ac:dyDescent="0.25">
      <c r="A1023" s="5" t="s">
        <v>96</v>
      </c>
    </row>
    <row r="1024" spans="1:8" x14ac:dyDescent="0.25">
      <c r="A1024" t="str" cm="1">
        <f t="array" aca="1" ref="A1024" ca="1">"a_CYC_1_" &amp; INDIRECT("F" &amp; ROW(C1024) - 22) &amp; "_p"</f>
        <v>a_CYC_1_7_5_p</v>
      </c>
      <c r="B1024">
        <v>0.1</v>
      </c>
      <c r="C1024" t="s">
        <v>4</v>
      </c>
    </row>
    <row r="1025" spans="1:8" x14ac:dyDescent="0.25">
      <c r="A1025" t="str" cm="1">
        <f t="array" aca="1" ref="A1025" ca="1">"a_CYC_2_" &amp; INDIRECT("F" &amp; ROW(C1025) - 23) &amp; "_p"</f>
        <v>a_CYC_2_7_5_p</v>
      </c>
      <c r="B1025">
        <v>0</v>
      </c>
      <c r="C1025" t="s">
        <v>5</v>
      </c>
    </row>
    <row r="1026" spans="1:8" x14ac:dyDescent="0.25">
      <c r="A1026" t="str" cm="1">
        <f t="array" aca="1" ref="A1026" ca="1">"a_CYC_3_" &amp; INDIRECT("F" &amp; ROW(C1026) - 24) &amp; "_p"</f>
        <v>a_CYC_3_7_5_p</v>
      </c>
      <c r="B1026">
        <v>2</v>
      </c>
      <c r="C1026" t="s">
        <v>6</v>
      </c>
    </row>
    <row r="1027" spans="1:8" x14ac:dyDescent="0.25">
      <c r="A1027" s="31" t="s">
        <v>144</v>
      </c>
      <c r="B1027" s="31"/>
      <c r="C1027" s="31"/>
      <c r="D1027" s="25">
        <v>7</v>
      </c>
      <c r="E1027" s="25">
        <v>6</v>
      </c>
      <c r="F1027" s="25" t="s">
        <v>169</v>
      </c>
    </row>
    <row r="1028" spans="1:8" x14ac:dyDescent="0.25">
      <c r="A1028" s="5" t="s">
        <v>3</v>
      </c>
    </row>
    <row r="1029" spans="1:8" x14ac:dyDescent="0.25">
      <c r="A1029" t="str" cm="1">
        <f t="array" aca="1" ref="A1029" ca="1">"a_T_1_" &amp; INDIRECT("F" &amp; ROW(C1029)-2) &amp; "_p"</f>
        <v>a_T_1_7_6_p</v>
      </c>
      <c r="B1029">
        <v>0</v>
      </c>
      <c r="C1029" t="s">
        <v>4</v>
      </c>
    </row>
    <row r="1030" spans="1:8" x14ac:dyDescent="0.25">
      <c r="A1030" t="str" cm="1">
        <f t="array" aca="1" ref="A1030" ca="1">"a_T_2_" &amp; INDIRECT("F" &amp; ROW(C1030)-3) &amp; "_p"</f>
        <v>a_T_2_7_6_p</v>
      </c>
      <c r="B1030">
        <v>0</v>
      </c>
      <c r="C1030" t="s">
        <v>5</v>
      </c>
    </row>
    <row r="1031" spans="1:8" x14ac:dyDescent="0.25">
      <c r="A1031" t="str" cm="1">
        <f t="array" aca="1" ref="A1031" ca="1">"a_T_3_" &amp; INDIRECT("F" &amp; ROW(C1031)-4) &amp; "_p"</f>
        <v>a_T_3_7_6_p</v>
      </c>
      <c r="B1031">
        <v>2</v>
      </c>
      <c r="C1031" t="s">
        <v>6</v>
      </c>
    </row>
    <row r="1032" spans="1:8" x14ac:dyDescent="0.25">
      <c r="A1032" s="5" t="s">
        <v>8</v>
      </c>
    </row>
    <row r="1033" spans="1:8" x14ac:dyDescent="0.25">
      <c r="A1033" t="str" cm="1">
        <f t="array" aca="1" ref="A1033" ca="1">"a_WS_1_" &amp; INDIRECT("F" &amp; ROW(C1033)-6) &amp; "_p"</f>
        <v>a_WS_1_7_6_p</v>
      </c>
      <c r="B1033">
        <v>0</v>
      </c>
      <c r="C1033" t="s">
        <v>4</v>
      </c>
    </row>
    <row r="1034" spans="1:8" x14ac:dyDescent="0.25">
      <c r="A1034" t="str" cm="1">
        <f t="array" aca="1" ref="A1034" ca="1">"a_WS_2_" &amp; INDIRECT("F" &amp; ROW(C1034)-7) &amp; "_p"</f>
        <v>a_WS_2_7_6_p</v>
      </c>
      <c r="B1034">
        <v>0</v>
      </c>
      <c r="C1034" t="s">
        <v>5</v>
      </c>
    </row>
    <row r="1035" spans="1:8" x14ac:dyDescent="0.25">
      <c r="A1035" t="str" cm="1">
        <f t="array" aca="1" ref="A1035" ca="1">"a_WS_3_" &amp; INDIRECT("F" &amp; ROW(C1035)-8) &amp; "_p"</f>
        <v>a_WS_3_7_6_p</v>
      </c>
      <c r="B1035">
        <v>2</v>
      </c>
      <c r="C1035" t="s">
        <v>6</v>
      </c>
    </row>
    <row r="1036" spans="1:8" x14ac:dyDescent="0.25">
      <c r="A1036" s="5" t="s">
        <v>7</v>
      </c>
      <c r="G1036" s="5"/>
      <c r="H1036" s="5"/>
    </row>
    <row r="1037" spans="1:8" x14ac:dyDescent="0.25">
      <c r="A1037" t="str" cm="1">
        <f t="array" aca="1" ref="A1037" ca="1">"a_PREC_1_" &amp; INDIRECT("F" &amp; ROW(C1037) - 10) &amp; "_p"</f>
        <v>a_PREC_1_7_6_p</v>
      </c>
      <c r="B1037">
        <v>0</v>
      </c>
      <c r="C1037" t="s">
        <v>4</v>
      </c>
      <c r="F1037" s="5"/>
    </row>
    <row r="1038" spans="1:8" x14ac:dyDescent="0.25">
      <c r="A1038" t="str" cm="1">
        <f t="array" aca="1" ref="A1038" ca="1">"a_PREC_2_" &amp; INDIRECT("F" &amp; ROW(C1038) - 11) &amp; "_p"</f>
        <v>a_PREC_2_7_6_p</v>
      </c>
      <c r="B1038">
        <v>0</v>
      </c>
      <c r="C1038" t="s">
        <v>5</v>
      </c>
    </row>
    <row r="1039" spans="1:8" x14ac:dyDescent="0.25">
      <c r="A1039" t="str" cm="1">
        <f t="array" aca="1" ref="A1039" ca="1">"a_PREC_3_" &amp; INDIRECT("F" &amp; ROW(C1039) - 12) &amp; "_p"</f>
        <v>a_PREC_3_7_6_p</v>
      </c>
      <c r="B1039">
        <v>2</v>
      </c>
      <c r="C1039" t="s">
        <v>6</v>
      </c>
    </row>
    <row r="1040" spans="1:8" x14ac:dyDescent="0.25">
      <c r="A1040" s="5" t="s">
        <v>9</v>
      </c>
      <c r="G1040" s="5"/>
      <c r="H1040" s="5"/>
    </row>
    <row r="1041" spans="1:6" x14ac:dyDescent="0.25">
      <c r="A1041" t="str" cm="1">
        <f t="array" aca="1" ref="A1041" ca="1">"a_SL_1_" &amp; INDIRECT("F" &amp; ROW(C1041) - 14) &amp; "_p"</f>
        <v>a_SL_1_7_6_p</v>
      </c>
      <c r="B1041">
        <v>0</v>
      </c>
      <c r="C1041" t="s">
        <v>4</v>
      </c>
      <c r="F1041" s="5"/>
    </row>
    <row r="1042" spans="1:6" x14ac:dyDescent="0.25">
      <c r="A1042" t="str" cm="1">
        <f t="array" aca="1" ref="A1042" ca="1">"a_SL_2_" &amp; INDIRECT("F" &amp; ROW(C1042) - 15) &amp; "_p"</f>
        <v>a_SL_2_7_6_p</v>
      </c>
      <c r="B1042">
        <v>0</v>
      </c>
      <c r="C1042" t="s">
        <v>5</v>
      </c>
    </row>
    <row r="1043" spans="1:6" x14ac:dyDescent="0.25">
      <c r="A1043" t="str" cm="1">
        <f t="array" aca="1" ref="A1043" ca="1">"a_SL_3_" &amp; INDIRECT("F" &amp; ROW(C1043) - 16) &amp; "_p"</f>
        <v>a_SL_3_7_6_p</v>
      </c>
      <c r="B1043">
        <v>2</v>
      </c>
      <c r="C1043" t="s">
        <v>6</v>
      </c>
    </row>
    <row r="1044" spans="1:6" x14ac:dyDescent="0.25">
      <c r="A1044" s="5" t="s">
        <v>95</v>
      </c>
    </row>
    <row r="1045" spans="1:6" x14ac:dyDescent="0.25">
      <c r="A1045" t="str" cm="1">
        <f t="array" aca="1" ref="A1045" ca="1">"a_DRO_1_" &amp; INDIRECT("F" &amp; ROW(C1045) - 18) &amp; "_p"</f>
        <v>a_DRO_1_7_6_p</v>
      </c>
      <c r="B1045">
        <v>0</v>
      </c>
      <c r="C1045" t="s">
        <v>4</v>
      </c>
    </row>
    <row r="1046" spans="1:6" x14ac:dyDescent="0.25">
      <c r="A1046" t="str" cm="1">
        <f t="array" aca="1" ref="A1046" ca="1">"a_DRO_2_" &amp; INDIRECT("F" &amp; ROW(C1046) - 19) &amp; "_p"</f>
        <v>a_DRO_2_7_6_p</v>
      </c>
      <c r="B1046">
        <v>0</v>
      </c>
      <c r="C1046" t="s">
        <v>5</v>
      </c>
    </row>
    <row r="1047" spans="1:6" x14ac:dyDescent="0.25">
      <c r="A1047" t="str" cm="1">
        <f t="array" aca="1" ref="A1047" ca="1">"a_DRO_3_" &amp; INDIRECT("F" &amp; ROW(C1047) - 20) &amp; "_p"</f>
        <v>a_DRO_3_7_6_p</v>
      </c>
      <c r="B1047">
        <v>2</v>
      </c>
      <c r="C1047" t="s">
        <v>6</v>
      </c>
    </row>
    <row r="1048" spans="1:6" x14ac:dyDescent="0.25">
      <c r="A1048" s="5" t="s">
        <v>96</v>
      </c>
    </row>
    <row r="1049" spans="1:6" x14ac:dyDescent="0.25">
      <c r="A1049" t="str" cm="1">
        <f t="array" aca="1" ref="A1049" ca="1">"a_CYC_1_" &amp; INDIRECT("F" &amp; ROW(C1049) - 22) &amp; "_p"</f>
        <v>a_CYC_1_7_6_p</v>
      </c>
      <c r="B1049">
        <v>0.1</v>
      </c>
      <c r="C1049" t="s">
        <v>4</v>
      </c>
    </row>
    <row r="1050" spans="1:6" x14ac:dyDescent="0.25">
      <c r="A1050" t="str" cm="1">
        <f t="array" aca="1" ref="A1050" ca="1">"a_CYC_2_" &amp; INDIRECT("F" &amp; ROW(C1050) - 23) &amp; "_p"</f>
        <v>a_CYC_2_7_6_p</v>
      </c>
      <c r="B1050">
        <v>0</v>
      </c>
      <c r="C1050" t="s">
        <v>5</v>
      </c>
    </row>
    <row r="1051" spans="1:6" x14ac:dyDescent="0.25">
      <c r="A1051" t="str" cm="1">
        <f t="array" aca="1" ref="A1051" ca="1">"a_CYC_3_" &amp; INDIRECT("F" &amp; ROW(C1051) - 24) &amp; "_p"</f>
        <v>a_CYC_3_7_6_p</v>
      </c>
      <c r="B1051">
        <v>2</v>
      </c>
      <c r="C1051" t="s">
        <v>6</v>
      </c>
    </row>
    <row r="1052" spans="1:6" x14ac:dyDescent="0.25">
      <c r="A1052" s="31" t="s">
        <v>145</v>
      </c>
      <c r="B1052" s="31"/>
      <c r="C1052" s="31"/>
      <c r="D1052" s="25">
        <v>8</v>
      </c>
      <c r="E1052" s="25">
        <v>1</v>
      </c>
      <c r="F1052" s="25" t="s">
        <v>168</v>
      </c>
    </row>
    <row r="1053" spans="1:6" x14ac:dyDescent="0.25">
      <c r="A1053" s="5" t="s">
        <v>3</v>
      </c>
    </row>
    <row r="1054" spans="1:6" x14ac:dyDescent="0.25">
      <c r="A1054" t="str" cm="1">
        <f t="array" aca="1" ref="A1054" ca="1">"a_T_1_" &amp; INDIRECT("F" &amp; ROW(C1054)-2) &amp; "_p"</f>
        <v>a_T_1_8_1_p</v>
      </c>
      <c r="B1054">
        <v>0</v>
      </c>
      <c r="C1054" t="s">
        <v>4</v>
      </c>
    </row>
    <row r="1055" spans="1:6" x14ac:dyDescent="0.25">
      <c r="A1055" t="str" cm="1">
        <f t="array" aca="1" ref="A1055" ca="1">"a_T_2_" &amp; INDIRECT("F" &amp; ROW(C1055)-3) &amp; "_p"</f>
        <v>a_T_2_8_1_p</v>
      </c>
      <c r="B1055">
        <v>0</v>
      </c>
      <c r="C1055" t="s">
        <v>5</v>
      </c>
    </row>
    <row r="1056" spans="1:6" x14ac:dyDescent="0.25">
      <c r="A1056" t="str" cm="1">
        <f t="array" aca="1" ref="A1056" ca="1">"a_T_3_" &amp; INDIRECT("F" &amp; ROW(C1056)-4) &amp; "_p"</f>
        <v>a_T_3_8_1_p</v>
      </c>
      <c r="B1056">
        <v>2</v>
      </c>
      <c r="C1056" t="s">
        <v>6</v>
      </c>
    </row>
    <row r="1057" spans="1:8" x14ac:dyDescent="0.25">
      <c r="A1057" s="5" t="s">
        <v>8</v>
      </c>
    </row>
    <row r="1058" spans="1:8" x14ac:dyDescent="0.25">
      <c r="A1058" t="str" cm="1">
        <f t="array" aca="1" ref="A1058" ca="1">"a_WS_1_" &amp; INDIRECT("F" &amp; ROW(C1058)-6) &amp; "_p"</f>
        <v>a_WS_1_8_1_p</v>
      </c>
      <c r="B1058">
        <v>0</v>
      </c>
      <c r="C1058" t="s">
        <v>4</v>
      </c>
    </row>
    <row r="1059" spans="1:8" x14ac:dyDescent="0.25">
      <c r="A1059" t="str" cm="1">
        <f t="array" aca="1" ref="A1059" ca="1">"a_WS_2_" &amp; INDIRECT("F" &amp; ROW(C1059)-7) &amp; "_p"</f>
        <v>a_WS_2_8_1_p</v>
      </c>
      <c r="B1059">
        <v>0</v>
      </c>
      <c r="C1059" t="s">
        <v>5</v>
      </c>
    </row>
    <row r="1060" spans="1:8" x14ac:dyDescent="0.25">
      <c r="A1060" t="str" cm="1">
        <f t="array" aca="1" ref="A1060" ca="1">"a_WS_3_" &amp; INDIRECT("F" &amp; ROW(C1060)-8) &amp; "_p"</f>
        <v>a_WS_3_8_1_p</v>
      </c>
      <c r="B1060">
        <v>2</v>
      </c>
      <c r="C1060" t="s">
        <v>6</v>
      </c>
    </row>
    <row r="1061" spans="1:8" x14ac:dyDescent="0.25">
      <c r="A1061" s="5" t="s">
        <v>7</v>
      </c>
      <c r="G1061" s="5"/>
      <c r="H1061" s="5"/>
    </row>
    <row r="1062" spans="1:8" x14ac:dyDescent="0.25">
      <c r="A1062" t="str" cm="1">
        <f t="array" aca="1" ref="A1062" ca="1">"a_PREC_1_" &amp; INDIRECT("F" &amp; ROW(C1062) - 10) &amp; "_p"</f>
        <v>a_PREC_1_8_1_p</v>
      </c>
      <c r="B1062">
        <v>0</v>
      </c>
      <c r="C1062" t="s">
        <v>4</v>
      </c>
      <c r="F1062" s="5"/>
    </row>
    <row r="1063" spans="1:8" x14ac:dyDescent="0.25">
      <c r="A1063" t="str" cm="1">
        <f t="array" aca="1" ref="A1063" ca="1">"a_PREC_2_" &amp; INDIRECT("F" &amp; ROW(C1063) - 11) &amp; "_p"</f>
        <v>a_PREC_2_8_1_p</v>
      </c>
      <c r="B1063">
        <v>0</v>
      </c>
      <c r="C1063" t="s">
        <v>5</v>
      </c>
    </row>
    <row r="1064" spans="1:8" x14ac:dyDescent="0.25">
      <c r="A1064" t="str" cm="1">
        <f t="array" aca="1" ref="A1064" ca="1">"a_PREC_3_" &amp; INDIRECT("F" &amp; ROW(C1064) - 12) &amp; "_p"</f>
        <v>a_PREC_3_8_1_p</v>
      </c>
      <c r="B1064">
        <v>2</v>
      </c>
      <c r="C1064" t="s">
        <v>6</v>
      </c>
    </row>
    <row r="1065" spans="1:8" x14ac:dyDescent="0.25">
      <c r="A1065" s="5" t="s">
        <v>9</v>
      </c>
      <c r="G1065" s="5"/>
      <c r="H1065" s="5"/>
    </row>
    <row r="1066" spans="1:8" x14ac:dyDescent="0.25">
      <c r="A1066" t="str" cm="1">
        <f t="array" aca="1" ref="A1066" ca="1">"a_SL_1_" &amp; INDIRECT("F" &amp; ROW(C1066) - 14) &amp; "_p"</f>
        <v>a_SL_1_8_1_p</v>
      </c>
      <c r="B1066">
        <v>0</v>
      </c>
      <c r="C1066" t="s">
        <v>4</v>
      </c>
      <c r="F1066" s="5"/>
    </row>
    <row r="1067" spans="1:8" x14ac:dyDescent="0.25">
      <c r="A1067" t="str" cm="1">
        <f t="array" aca="1" ref="A1067" ca="1">"a_SL_2_" &amp; INDIRECT("F" &amp; ROW(C1067) - 15) &amp; "_p"</f>
        <v>a_SL_2_8_1_p</v>
      </c>
      <c r="B1067">
        <v>0</v>
      </c>
      <c r="C1067" t="s">
        <v>5</v>
      </c>
    </row>
    <row r="1068" spans="1:8" x14ac:dyDescent="0.25">
      <c r="A1068" t="str" cm="1">
        <f t="array" aca="1" ref="A1068" ca="1">"a_SL_3_" &amp; INDIRECT("F" &amp; ROW(C1068) - 16) &amp; "_p"</f>
        <v>a_SL_3_8_1_p</v>
      </c>
      <c r="B1068">
        <v>2</v>
      </c>
      <c r="C1068" t="s">
        <v>6</v>
      </c>
    </row>
    <row r="1069" spans="1:8" x14ac:dyDescent="0.25">
      <c r="A1069" s="5" t="s">
        <v>95</v>
      </c>
    </row>
    <row r="1070" spans="1:8" x14ac:dyDescent="0.25">
      <c r="A1070" t="str" cm="1">
        <f t="array" aca="1" ref="A1070" ca="1">"a_DRO_1_" &amp; INDIRECT("F" &amp; ROW(C1070) - 18) &amp; "_p"</f>
        <v>a_DRO_1_8_1_p</v>
      </c>
      <c r="B1070">
        <v>0</v>
      </c>
      <c r="C1070" t="s">
        <v>4</v>
      </c>
    </row>
    <row r="1071" spans="1:8" x14ac:dyDescent="0.25">
      <c r="A1071" t="str" cm="1">
        <f t="array" aca="1" ref="A1071" ca="1">"a_DRO_2_" &amp; INDIRECT("F" &amp; ROW(C1071) - 19) &amp; "_p"</f>
        <v>a_DRO_2_8_1_p</v>
      </c>
      <c r="B1071">
        <v>0</v>
      </c>
      <c r="C1071" t="s">
        <v>5</v>
      </c>
    </row>
    <row r="1072" spans="1:8" x14ac:dyDescent="0.25">
      <c r="A1072" t="str" cm="1">
        <f t="array" aca="1" ref="A1072" ca="1">"a_DRO_3_" &amp; INDIRECT("F" &amp; ROW(C1072) - 20) &amp; "_p"</f>
        <v>a_DRO_3_8_1_p</v>
      </c>
      <c r="B1072">
        <v>2</v>
      </c>
      <c r="C1072" t="s">
        <v>6</v>
      </c>
    </row>
    <row r="1073" spans="1:8" x14ac:dyDescent="0.25">
      <c r="A1073" s="5" t="s">
        <v>96</v>
      </c>
    </row>
    <row r="1074" spans="1:8" x14ac:dyDescent="0.25">
      <c r="A1074" t="str" cm="1">
        <f t="array" aca="1" ref="A1074" ca="1">"a_CYC_1_" &amp; INDIRECT("F" &amp; ROW(C1074) - 22) &amp; "_p"</f>
        <v>a_CYC_1_8_1_p</v>
      </c>
      <c r="B1074">
        <v>0.1</v>
      </c>
      <c r="C1074" t="s">
        <v>4</v>
      </c>
    </row>
    <row r="1075" spans="1:8" x14ac:dyDescent="0.25">
      <c r="A1075" t="str" cm="1">
        <f t="array" aca="1" ref="A1075" ca="1">"a_CYC_2_" &amp; INDIRECT("F" &amp; ROW(C1075) - 23) &amp; "_p"</f>
        <v>a_CYC_2_8_1_p</v>
      </c>
      <c r="B1075">
        <v>0</v>
      </c>
      <c r="C1075" t="s">
        <v>5</v>
      </c>
    </row>
    <row r="1076" spans="1:8" x14ac:dyDescent="0.25">
      <c r="A1076" t="str" cm="1">
        <f t="array" aca="1" ref="A1076" ca="1">"a_CYC_3_" &amp; INDIRECT("F" &amp; ROW(C1076) - 24) &amp; "_p"</f>
        <v>a_CYC_3_8_1_p</v>
      </c>
      <c r="B1076">
        <v>2</v>
      </c>
      <c r="C1076" t="s">
        <v>6</v>
      </c>
    </row>
    <row r="1077" spans="1:8" x14ac:dyDescent="0.25">
      <c r="A1077" s="31" t="s">
        <v>146</v>
      </c>
      <c r="B1077" s="31"/>
      <c r="C1077" s="31"/>
      <c r="D1077" s="25">
        <v>8</v>
      </c>
      <c r="E1077" s="25">
        <v>2</v>
      </c>
      <c r="F1077" s="25" t="s">
        <v>167</v>
      </c>
    </row>
    <row r="1078" spans="1:8" x14ac:dyDescent="0.25">
      <c r="A1078" s="5" t="s">
        <v>3</v>
      </c>
    </row>
    <row r="1079" spans="1:8" x14ac:dyDescent="0.25">
      <c r="A1079" t="str" cm="1">
        <f t="array" aca="1" ref="A1079" ca="1">"a_T_1_" &amp; INDIRECT("F" &amp; ROW(C1079)-2) &amp; "_p"</f>
        <v>a_T_1_8_2_p</v>
      </c>
      <c r="B1079">
        <v>0</v>
      </c>
      <c r="C1079" t="s">
        <v>4</v>
      </c>
    </row>
    <row r="1080" spans="1:8" x14ac:dyDescent="0.25">
      <c r="A1080" t="str" cm="1">
        <f t="array" aca="1" ref="A1080" ca="1">"a_T_2_" &amp; INDIRECT("F" &amp; ROW(C1080)-3) &amp; "_p"</f>
        <v>a_T_2_8_2_p</v>
      </c>
      <c r="B1080">
        <v>0</v>
      </c>
      <c r="C1080" t="s">
        <v>5</v>
      </c>
    </row>
    <row r="1081" spans="1:8" x14ac:dyDescent="0.25">
      <c r="A1081" t="str" cm="1">
        <f t="array" aca="1" ref="A1081" ca="1">"a_T_3_" &amp; INDIRECT("F" &amp; ROW(C1081)-4) &amp; "_p"</f>
        <v>a_T_3_8_2_p</v>
      </c>
      <c r="B1081">
        <v>2</v>
      </c>
      <c r="C1081" t="s">
        <v>6</v>
      </c>
    </row>
    <row r="1082" spans="1:8" x14ac:dyDescent="0.25">
      <c r="A1082" s="5" t="s">
        <v>8</v>
      </c>
    </row>
    <row r="1083" spans="1:8" x14ac:dyDescent="0.25">
      <c r="A1083" t="str" cm="1">
        <f t="array" aca="1" ref="A1083" ca="1">"a_WS_1_" &amp; INDIRECT("F" &amp; ROW(C1083)-6) &amp; "_p"</f>
        <v>a_WS_1_8_2_p</v>
      </c>
      <c r="B1083">
        <v>0</v>
      </c>
      <c r="C1083" t="s">
        <v>4</v>
      </c>
    </row>
    <row r="1084" spans="1:8" x14ac:dyDescent="0.25">
      <c r="A1084" t="str" cm="1">
        <f t="array" aca="1" ref="A1084" ca="1">"a_WS_2_" &amp; INDIRECT("F" &amp; ROW(C1084)-7) &amp; "_p"</f>
        <v>a_WS_2_8_2_p</v>
      </c>
      <c r="B1084">
        <v>0</v>
      </c>
      <c r="C1084" t="s">
        <v>5</v>
      </c>
    </row>
    <row r="1085" spans="1:8" x14ac:dyDescent="0.25">
      <c r="A1085" t="str" cm="1">
        <f t="array" aca="1" ref="A1085" ca="1">"a_WS_3_" &amp; INDIRECT("F" &amp; ROW(C1085)-8) &amp; "_p"</f>
        <v>a_WS_3_8_2_p</v>
      </c>
      <c r="B1085">
        <v>2</v>
      </c>
      <c r="C1085" t="s">
        <v>6</v>
      </c>
    </row>
    <row r="1086" spans="1:8" x14ac:dyDescent="0.25">
      <c r="A1086" s="5" t="s">
        <v>7</v>
      </c>
      <c r="G1086" s="5"/>
      <c r="H1086" s="5"/>
    </row>
    <row r="1087" spans="1:8" x14ac:dyDescent="0.25">
      <c r="A1087" t="str" cm="1">
        <f t="array" aca="1" ref="A1087" ca="1">"a_PREC_1_" &amp; INDIRECT("F" &amp; ROW(C1087) - 10) &amp; "_p"</f>
        <v>a_PREC_1_8_2_p</v>
      </c>
      <c r="B1087">
        <v>0</v>
      </c>
      <c r="C1087" t="s">
        <v>4</v>
      </c>
      <c r="F1087" s="5"/>
    </row>
    <row r="1088" spans="1:8" x14ac:dyDescent="0.25">
      <c r="A1088" t="str" cm="1">
        <f t="array" aca="1" ref="A1088" ca="1">"a_PREC_2_" &amp; INDIRECT("F" &amp; ROW(C1088) - 11) &amp; "_p"</f>
        <v>a_PREC_2_8_2_p</v>
      </c>
      <c r="B1088">
        <v>0</v>
      </c>
      <c r="C1088" t="s">
        <v>5</v>
      </c>
    </row>
    <row r="1089" spans="1:8" x14ac:dyDescent="0.25">
      <c r="A1089" t="str" cm="1">
        <f t="array" aca="1" ref="A1089" ca="1">"a_PREC_3_" &amp; INDIRECT("F" &amp; ROW(C1089) - 12) &amp; "_p"</f>
        <v>a_PREC_3_8_2_p</v>
      </c>
      <c r="B1089">
        <v>2</v>
      </c>
      <c r="C1089" t="s">
        <v>6</v>
      </c>
    </row>
    <row r="1090" spans="1:8" x14ac:dyDescent="0.25">
      <c r="A1090" s="5" t="s">
        <v>9</v>
      </c>
      <c r="G1090" s="5"/>
      <c r="H1090" s="5"/>
    </row>
    <row r="1091" spans="1:8" x14ac:dyDescent="0.25">
      <c r="A1091" t="str" cm="1">
        <f t="array" aca="1" ref="A1091" ca="1">"a_SL_1_" &amp; INDIRECT("F" &amp; ROW(C1091) - 14) &amp; "_p"</f>
        <v>a_SL_1_8_2_p</v>
      </c>
      <c r="B1091">
        <v>0</v>
      </c>
      <c r="C1091" t="s">
        <v>4</v>
      </c>
      <c r="F1091" s="5"/>
    </row>
    <row r="1092" spans="1:8" x14ac:dyDescent="0.25">
      <c r="A1092" t="str" cm="1">
        <f t="array" aca="1" ref="A1092" ca="1">"a_SL_2_" &amp; INDIRECT("F" &amp; ROW(C1092) - 15) &amp; "_p"</f>
        <v>a_SL_2_8_2_p</v>
      </c>
      <c r="B1092">
        <v>0</v>
      </c>
      <c r="C1092" t="s">
        <v>5</v>
      </c>
    </row>
    <row r="1093" spans="1:8" x14ac:dyDescent="0.25">
      <c r="A1093" t="str" cm="1">
        <f t="array" aca="1" ref="A1093" ca="1">"a_SL_3_" &amp; INDIRECT("F" &amp; ROW(C1093) - 16) &amp; "_p"</f>
        <v>a_SL_3_8_2_p</v>
      </c>
      <c r="B1093">
        <v>2</v>
      </c>
      <c r="C1093" t="s">
        <v>6</v>
      </c>
    </row>
    <row r="1094" spans="1:8" x14ac:dyDescent="0.25">
      <c r="A1094" s="5" t="s">
        <v>95</v>
      </c>
    </row>
    <row r="1095" spans="1:8" x14ac:dyDescent="0.25">
      <c r="A1095" t="str" cm="1">
        <f t="array" aca="1" ref="A1095" ca="1">"a_DRO_1_" &amp; INDIRECT("F" &amp; ROW(C1095) - 18) &amp; "_p"</f>
        <v>a_DRO_1_8_2_p</v>
      </c>
      <c r="B1095">
        <v>0</v>
      </c>
      <c r="C1095" t="s">
        <v>4</v>
      </c>
    </row>
    <row r="1096" spans="1:8" x14ac:dyDescent="0.25">
      <c r="A1096" t="str" cm="1">
        <f t="array" aca="1" ref="A1096" ca="1">"a_DRO_2_" &amp; INDIRECT("F" &amp; ROW(C1096) - 19) &amp; "_p"</f>
        <v>a_DRO_2_8_2_p</v>
      </c>
      <c r="B1096">
        <v>0</v>
      </c>
      <c r="C1096" t="s">
        <v>5</v>
      </c>
    </row>
    <row r="1097" spans="1:8" x14ac:dyDescent="0.25">
      <c r="A1097" t="str" cm="1">
        <f t="array" aca="1" ref="A1097" ca="1">"a_DRO_3_" &amp; INDIRECT("F" &amp; ROW(C1097) - 20) &amp; "_p"</f>
        <v>a_DRO_3_8_2_p</v>
      </c>
      <c r="B1097">
        <v>2</v>
      </c>
      <c r="C1097" t="s">
        <v>6</v>
      </c>
    </row>
    <row r="1098" spans="1:8" x14ac:dyDescent="0.25">
      <c r="A1098" s="5" t="s">
        <v>96</v>
      </c>
    </row>
    <row r="1099" spans="1:8" x14ac:dyDescent="0.25">
      <c r="A1099" t="str" cm="1">
        <f t="array" aca="1" ref="A1099" ca="1">"a_CYC_1_" &amp; INDIRECT("F" &amp; ROW(C1099) - 22) &amp; "_p"</f>
        <v>a_CYC_1_8_2_p</v>
      </c>
      <c r="B1099">
        <v>0.1</v>
      </c>
      <c r="C1099" t="s">
        <v>4</v>
      </c>
    </row>
    <row r="1100" spans="1:8" x14ac:dyDescent="0.25">
      <c r="A1100" t="str" cm="1">
        <f t="array" aca="1" ref="A1100" ca="1">"a_CYC_2_" &amp; INDIRECT("F" &amp; ROW(C1100) - 23) &amp; "_p"</f>
        <v>a_CYC_2_8_2_p</v>
      </c>
      <c r="B1100">
        <v>0</v>
      </c>
      <c r="C1100" t="s">
        <v>5</v>
      </c>
    </row>
    <row r="1101" spans="1:8" x14ac:dyDescent="0.25">
      <c r="A1101" t="str" cm="1">
        <f t="array" aca="1" ref="A1101" ca="1">"a_CYC_3_" &amp; INDIRECT("F" &amp; ROW(C1101) - 24) &amp; "_p"</f>
        <v>a_CYC_3_8_2_p</v>
      </c>
      <c r="B1101">
        <v>2</v>
      </c>
      <c r="C1101" t="s">
        <v>6</v>
      </c>
    </row>
    <row r="1102" spans="1:8" x14ac:dyDescent="0.25">
      <c r="A1102" s="31" t="s">
        <v>147</v>
      </c>
      <c r="B1102" s="31"/>
      <c r="C1102" s="31"/>
      <c r="D1102" s="25">
        <v>8</v>
      </c>
      <c r="E1102" s="25">
        <v>3</v>
      </c>
      <c r="F1102" s="25" t="s">
        <v>166</v>
      </c>
    </row>
    <row r="1103" spans="1:8" x14ac:dyDescent="0.25">
      <c r="A1103" s="5" t="s">
        <v>3</v>
      </c>
    </row>
    <row r="1104" spans="1:8" x14ac:dyDescent="0.25">
      <c r="A1104" t="str" cm="1">
        <f t="array" aca="1" ref="A1104" ca="1">"a_T_1_" &amp; INDIRECT("F" &amp; ROW(C1104)-2) &amp; "_p"</f>
        <v>a_T_1_8_3_p</v>
      </c>
      <c r="B1104">
        <v>0</v>
      </c>
      <c r="C1104" t="s">
        <v>4</v>
      </c>
    </row>
    <row r="1105" spans="1:8" x14ac:dyDescent="0.25">
      <c r="A1105" t="str" cm="1">
        <f t="array" aca="1" ref="A1105" ca="1">"a_T_2_" &amp; INDIRECT("F" &amp; ROW(C1105)-3) &amp; "_p"</f>
        <v>a_T_2_8_3_p</v>
      </c>
      <c r="B1105">
        <v>0</v>
      </c>
      <c r="C1105" t="s">
        <v>5</v>
      </c>
    </row>
    <row r="1106" spans="1:8" x14ac:dyDescent="0.25">
      <c r="A1106" t="str" cm="1">
        <f t="array" aca="1" ref="A1106" ca="1">"a_T_3_" &amp; INDIRECT("F" &amp; ROW(C1106)-4) &amp; "_p"</f>
        <v>a_T_3_8_3_p</v>
      </c>
      <c r="B1106">
        <v>2</v>
      </c>
      <c r="C1106" t="s">
        <v>6</v>
      </c>
    </row>
    <row r="1107" spans="1:8" x14ac:dyDescent="0.25">
      <c r="A1107" s="5" t="s">
        <v>8</v>
      </c>
    </row>
    <row r="1108" spans="1:8" x14ac:dyDescent="0.25">
      <c r="A1108" t="str" cm="1">
        <f t="array" aca="1" ref="A1108" ca="1">"a_WS_1_" &amp; INDIRECT("F" &amp; ROW(C1108)-6) &amp; "_p"</f>
        <v>a_WS_1_8_3_p</v>
      </c>
      <c r="B1108">
        <v>0</v>
      </c>
      <c r="C1108" t="s">
        <v>4</v>
      </c>
    </row>
    <row r="1109" spans="1:8" x14ac:dyDescent="0.25">
      <c r="A1109" t="str" cm="1">
        <f t="array" aca="1" ref="A1109" ca="1">"a_WS_2_" &amp; INDIRECT("F" &amp; ROW(C1109)-7) &amp; "_p"</f>
        <v>a_WS_2_8_3_p</v>
      </c>
      <c r="B1109">
        <v>0</v>
      </c>
      <c r="C1109" t="s">
        <v>5</v>
      </c>
    </row>
    <row r="1110" spans="1:8" x14ac:dyDescent="0.25">
      <c r="A1110" t="str" cm="1">
        <f t="array" aca="1" ref="A1110" ca="1">"a_WS_3_" &amp; INDIRECT("F" &amp; ROW(C1110)-8) &amp; "_p"</f>
        <v>a_WS_3_8_3_p</v>
      </c>
      <c r="B1110">
        <v>2</v>
      </c>
      <c r="C1110" t="s">
        <v>6</v>
      </c>
    </row>
    <row r="1111" spans="1:8" x14ac:dyDescent="0.25">
      <c r="A1111" s="5" t="s">
        <v>7</v>
      </c>
      <c r="G1111" s="5"/>
      <c r="H1111" s="5"/>
    </row>
    <row r="1112" spans="1:8" x14ac:dyDescent="0.25">
      <c r="A1112" t="str" cm="1">
        <f t="array" aca="1" ref="A1112" ca="1">"a_PREC_1_" &amp; INDIRECT("F" &amp; ROW(C1112) - 10) &amp; "_p"</f>
        <v>a_PREC_1_8_3_p</v>
      </c>
      <c r="B1112">
        <v>0</v>
      </c>
      <c r="C1112" t="s">
        <v>4</v>
      </c>
      <c r="F1112" s="5"/>
    </row>
    <row r="1113" spans="1:8" x14ac:dyDescent="0.25">
      <c r="A1113" t="str" cm="1">
        <f t="array" aca="1" ref="A1113" ca="1">"a_PREC_2_" &amp; INDIRECT("F" &amp; ROW(C1113) - 11) &amp; "_p"</f>
        <v>a_PREC_2_8_3_p</v>
      </c>
      <c r="B1113">
        <v>0</v>
      </c>
      <c r="C1113" t="s">
        <v>5</v>
      </c>
    </row>
    <row r="1114" spans="1:8" x14ac:dyDescent="0.25">
      <c r="A1114" t="str" cm="1">
        <f t="array" aca="1" ref="A1114" ca="1">"a_PREC_3_" &amp; INDIRECT("F" &amp; ROW(C1114) - 12) &amp; "_p"</f>
        <v>a_PREC_3_8_3_p</v>
      </c>
      <c r="B1114">
        <v>2</v>
      </c>
      <c r="C1114" t="s">
        <v>6</v>
      </c>
    </row>
    <row r="1115" spans="1:8" x14ac:dyDescent="0.25">
      <c r="A1115" s="5" t="s">
        <v>9</v>
      </c>
      <c r="G1115" s="5"/>
      <c r="H1115" s="5"/>
    </row>
    <row r="1116" spans="1:8" x14ac:dyDescent="0.25">
      <c r="A1116" t="str" cm="1">
        <f t="array" aca="1" ref="A1116" ca="1">"a_SL_1_" &amp; INDIRECT("F" &amp; ROW(C1116) - 14) &amp; "_p"</f>
        <v>a_SL_1_8_3_p</v>
      </c>
      <c r="B1116">
        <v>0</v>
      </c>
      <c r="C1116" t="s">
        <v>4</v>
      </c>
      <c r="F1116" s="5"/>
    </row>
    <row r="1117" spans="1:8" x14ac:dyDescent="0.25">
      <c r="A1117" t="str" cm="1">
        <f t="array" aca="1" ref="A1117" ca="1">"a_SL_2_" &amp; INDIRECT("F" &amp; ROW(C1117) - 15) &amp; "_p"</f>
        <v>a_SL_2_8_3_p</v>
      </c>
      <c r="B1117">
        <v>0</v>
      </c>
      <c r="C1117" t="s">
        <v>5</v>
      </c>
    </row>
    <row r="1118" spans="1:8" x14ac:dyDescent="0.25">
      <c r="A1118" t="str" cm="1">
        <f t="array" aca="1" ref="A1118" ca="1">"a_SL_3_" &amp; INDIRECT("F" &amp; ROW(C1118) - 16) &amp; "_p"</f>
        <v>a_SL_3_8_3_p</v>
      </c>
      <c r="B1118">
        <v>2</v>
      </c>
      <c r="C1118" t="s">
        <v>6</v>
      </c>
    </row>
    <row r="1119" spans="1:8" x14ac:dyDescent="0.25">
      <c r="A1119" s="5" t="s">
        <v>95</v>
      </c>
    </row>
    <row r="1120" spans="1:8" x14ac:dyDescent="0.25">
      <c r="A1120" t="str" cm="1">
        <f t="array" aca="1" ref="A1120" ca="1">"a_DRO_1_" &amp; INDIRECT("F" &amp; ROW(C1120) - 18) &amp; "_p"</f>
        <v>a_DRO_1_8_3_p</v>
      </c>
      <c r="B1120">
        <v>0</v>
      </c>
      <c r="C1120" t="s">
        <v>4</v>
      </c>
    </row>
    <row r="1121" spans="1:8" x14ac:dyDescent="0.25">
      <c r="A1121" t="str" cm="1">
        <f t="array" aca="1" ref="A1121" ca="1">"a_DRO_2_" &amp; INDIRECT("F" &amp; ROW(C1121) - 19) &amp; "_p"</f>
        <v>a_DRO_2_8_3_p</v>
      </c>
      <c r="B1121">
        <v>0</v>
      </c>
      <c r="C1121" t="s">
        <v>5</v>
      </c>
    </row>
    <row r="1122" spans="1:8" x14ac:dyDescent="0.25">
      <c r="A1122" t="str" cm="1">
        <f t="array" aca="1" ref="A1122" ca="1">"a_DRO_3_" &amp; INDIRECT("F" &amp; ROW(C1122) - 20) &amp; "_p"</f>
        <v>a_DRO_3_8_3_p</v>
      </c>
      <c r="B1122">
        <v>2</v>
      </c>
      <c r="C1122" t="s">
        <v>6</v>
      </c>
    </row>
    <row r="1123" spans="1:8" x14ac:dyDescent="0.25">
      <c r="A1123" s="5" t="s">
        <v>96</v>
      </c>
    </row>
    <row r="1124" spans="1:8" x14ac:dyDescent="0.25">
      <c r="A1124" t="str" cm="1">
        <f t="array" aca="1" ref="A1124" ca="1">"a_CYC_1_" &amp; INDIRECT("F" &amp; ROW(C1124) - 22) &amp; "_p"</f>
        <v>a_CYC_1_8_3_p</v>
      </c>
      <c r="B1124">
        <v>0.1</v>
      </c>
      <c r="C1124" t="s">
        <v>4</v>
      </c>
    </row>
    <row r="1125" spans="1:8" x14ac:dyDescent="0.25">
      <c r="A1125" t="str" cm="1">
        <f t="array" aca="1" ref="A1125" ca="1">"a_CYC_2_" &amp; INDIRECT("F" &amp; ROW(C1125) - 23) &amp; "_p"</f>
        <v>a_CYC_2_8_3_p</v>
      </c>
      <c r="B1125">
        <v>0</v>
      </c>
      <c r="C1125" t="s">
        <v>5</v>
      </c>
    </row>
    <row r="1126" spans="1:8" x14ac:dyDescent="0.25">
      <c r="A1126" t="str" cm="1">
        <f t="array" aca="1" ref="A1126" ca="1">"a_CYC_3_" &amp; INDIRECT("F" &amp; ROW(C1126) - 24) &amp; "_p"</f>
        <v>a_CYC_3_8_3_p</v>
      </c>
      <c r="B1126">
        <v>2</v>
      </c>
      <c r="C1126" t="s">
        <v>6</v>
      </c>
    </row>
    <row r="1127" spans="1:8" x14ac:dyDescent="0.25">
      <c r="A1127" s="31" t="s">
        <v>148</v>
      </c>
      <c r="B1127" s="31"/>
      <c r="C1127" s="31"/>
      <c r="D1127" s="25">
        <v>8</v>
      </c>
      <c r="E1127" s="25">
        <v>4</v>
      </c>
      <c r="F1127" s="25" t="s">
        <v>165</v>
      </c>
    </row>
    <row r="1128" spans="1:8" x14ac:dyDescent="0.25">
      <c r="A1128" s="5" t="s">
        <v>3</v>
      </c>
    </row>
    <row r="1129" spans="1:8" x14ac:dyDescent="0.25">
      <c r="A1129" t="str" cm="1">
        <f t="array" aca="1" ref="A1129" ca="1">"a_T_1_" &amp; INDIRECT("F" &amp; ROW(C1129)-2) &amp; "_p"</f>
        <v>a_T_1_8_4_p</v>
      </c>
      <c r="B1129">
        <v>0</v>
      </c>
      <c r="C1129" t="s">
        <v>4</v>
      </c>
    </row>
    <row r="1130" spans="1:8" x14ac:dyDescent="0.25">
      <c r="A1130" t="str" cm="1">
        <f t="array" aca="1" ref="A1130" ca="1">"a_T_2_" &amp; INDIRECT("F" &amp; ROW(C1130)-3) &amp; "_p"</f>
        <v>a_T_2_8_4_p</v>
      </c>
      <c r="B1130">
        <v>0</v>
      </c>
      <c r="C1130" t="s">
        <v>5</v>
      </c>
    </row>
    <row r="1131" spans="1:8" x14ac:dyDescent="0.25">
      <c r="A1131" t="str" cm="1">
        <f t="array" aca="1" ref="A1131" ca="1">"a_T_3_" &amp; INDIRECT("F" &amp; ROW(C1131)-4) &amp; "_p"</f>
        <v>a_T_3_8_4_p</v>
      </c>
      <c r="B1131">
        <v>2</v>
      </c>
      <c r="C1131" t="s">
        <v>6</v>
      </c>
    </row>
    <row r="1132" spans="1:8" x14ac:dyDescent="0.25">
      <c r="A1132" s="5" t="s">
        <v>8</v>
      </c>
    </row>
    <row r="1133" spans="1:8" x14ac:dyDescent="0.25">
      <c r="A1133" t="str" cm="1">
        <f t="array" aca="1" ref="A1133" ca="1">"a_WS_1_" &amp; INDIRECT("F" &amp; ROW(C1133)-6) &amp; "_p"</f>
        <v>a_WS_1_8_4_p</v>
      </c>
      <c r="B1133">
        <v>0</v>
      </c>
      <c r="C1133" t="s">
        <v>4</v>
      </c>
    </row>
    <row r="1134" spans="1:8" x14ac:dyDescent="0.25">
      <c r="A1134" t="str" cm="1">
        <f t="array" aca="1" ref="A1134" ca="1">"a_WS_2_" &amp; INDIRECT("F" &amp; ROW(C1134)-7) &amp; "_p"</f>
        <v>a_WS_2_8_4_p</v>
      </c>
      <c r="B1134">
        <v>0</v>
      </c>
      <c r="C1134" t="s">
        <v>5</v>
      </c>
    </row>
    <row r="1135" spans="1:8" x14ac:dyDescent="0.25">
      <c r="A1135" t="str" cm="1">
        <f t="array" aca="1" ref="A1135" ca="1">"a_WS_3_" &amp; INDIRECT("F" &amp; ROW(C1135)-8) &amp; "_p"</f>
        <v>a_WS_3_8_4_p</v>
      </c>
      <c r="B1135">
        <v>2</v>
      </c>
      <c r="C1135" t="s">
        <v>6</v>
      </c>
    </row>
    <row r="1136" spans="1:8" x14ac:dyDescent="0.25">
      <c r="A1136" s="5" t="s">
        <v>7</v>
      </c>
      <c r="G1136" s="5"/>
      <c r="H1136" s="5"/>
    </row>
    <row r="1137" spans="1:8" x14ac:dyDescent="0.25">
      <c r="A1137" t="str" cm="1">
        <f t="array" aca="1" ref="A1137" ca="1">"a_PREC_1_" &amp; INDIRECT("F" &amp; ROW(C1137) - 10) &amp; "_p"</f>
        <v>a_PREC_1_8_4_p</v>
      </c>
      <c r="B1137">
        <v>0</v>
      </c>
      <c r="C1137" t="s">
        <v>4</v>
      </c>
      <c r="F1137" s="5"/>
    </row>
    <row r="1138" spans="1:8" x14ac:dyDescent="0.25">
      <c r="A1138" t="str" cm="1">
        <f t="array" aca="1" ref="A1138" ca="1">"a_PREC_2_" &amp; INDIRECT("F" &amp; ROW(C1138) - 11) &amp; "_p"</f>
        <v>a_PREC_2_8_4_p</v>
      </c>
      <c r="B1138">
        <v>0</v>
      </c>
      <c r="C1138" t="s">
        <v>5</v>
      </c>
    </row>
    <row r="1139" spans="1:8" x14ac:dyDescent="0.25">
      <c r="A1139" t="str" cm="1">
        <f t="array" aca="1" ref="A1139" ca="1">"a_PREC_3_" &amp; INDIRECT("F" &amp; ROW(C1139) - 12) &amp; "_p"</f>
        <v>a_PREC_3_8_4_p</v>
      </c>
      <c r="B1139">
        <v>2</v>
      </c>
      <c r="C1139" t="s">
        <v>6</v>
      </c>
    </row>
    <row r="1140" spans="1:8" x14ac:dyDescent="0.25">
      <c r="A1140" s="5" t="s">
        <v>9</v>
      </c>
      <c r="G1140" s="5"/>
      <c r="H1140" s="5"/>
    </row>
    <row r="1141" spans="1:8" x14ac:dyDescent="0.25">
      <c r="A1141" t="str" cm="1">
        <f t="array" aca="1" ref="A1141" ca="1">"a_SL_1_" &amp; INDIRECT("F" &amp; ROW(C1141) - 14) &amp; "_p"</f>
        <v>a_SL_1_8_4_p</v>
      </c>
      <c r="B1141">
        <v>0</v>
      </c>
      <c r="C1141" t="s">
        <v>4</v>
      </c>
      <c r="F1141" s="5"/>
    </row>
    <row r="1142" spans="1:8" x14ac:dyDescent="0.25">
      <c r="A1142" t="str" cm="1">
        <f t="array" aca="1" ref="A1142" ca="1">"a_SL_2_" &amp; INDIRECT("F" &amp; ROW(C1142) - 15) &amp; "_p"</f>
        <v>a_SL_2_8_4_p</v>
      </c>
      <c r="B1142">
        <v>0</v>
      </c>
      <c r="C1142" t="s">
        <v>5</v>
      </c>
    </row>
    <row r="1143" spans="1:8" x14ac:dyDescent="0.25">
      <c r="A1143" t="str" cm="1">
        <f t="array" aca="1" ref="A1143" ca="1">"a_SL_3_" &amp; INDIRECT("F" &amp; ROW(C1143) - 16) &amp; "_p"</f>
        <v>a_SL_3_8_4_p</v>
      </c>
      <c r="B1143">
        <v>2</v>
      </c>
      <c r="C1143" t="s">
        <v>6</v>
      </c>
    </row>
    <row r="1144" spans="1:8" x14ac:dyDescent="0.25">
      <c r="A1144" s="5" t="s">
        <v>95</v>
      </c>
    </row>
    <row r="1145" spans="1:8" x14ac:dyDescent="0.25">
      <c r="A1145" t="str" cm="1">
        <f t="array" aca="1" ref="A1145" ca="1">"a_DRO_1_" &amp; INDIRECT("F" &amp; ROW(C1145) - 18) &amp; "_p"</f>
        <v>a_DRO_1_8_4_p</v>
      </c>
      <c r="B1145">
        <v>0</v>
      </c>
      <c r="C1145" t="s">
        <v>4</v>
      </c>
    </row>
    <row r="1146" spans="1:8" x14ac:dyDescent="0.25">
      <c r="A1146" t="str" cm="1">
        <f t="array" aca="1" ref="A1146" ca="1">"a_DRO_2_" &amp; INDIRECT("F" &amp; ROW(C1146) - 19) &amp; "_p"</f>
        <v>a_DRO_2_8_4_p</v>
      </c>
      <c r="B1146">
        <v>0</v>
      </c>
      <c r="C1146" t="s">
        <v>5</v>
      </c>
    </row>
    <row r="1147" spans="1:8" x14ac:dyDescent="0.25">
      <c r="A1147" t="str" cm="1">
        <f t="array" aca="1" ref="A1147" ca="1">"a_DRO_3_" &amp; INDIRECT("F" &amp; ROW(C1147) - 20) &amp; "_p"</f>
        <v>a_DRO_3_8_4_p</v>
      </c>
      <c r="B1147">
        <v>2</v>
      </c>
      <c r="C1147" t="s">
        <v>6</v>
      </c>
    </row>
    <row r="1148" spans="1:8" x14ac:dyDescent="0.25">
      <c r="A1148" s="5" t="s">
        <v>96</v>
      </c>
    </row>
    <row r="1149" spans="1:8" x14ac:dyDescent="0.25">
      <c r="A1149" t="str" cm="1">
        <f t="array" aca="1" ref="A1149" ca="1">"a_CYC_1_" &amp; INDIRECT("F" &amp; ROW(C1149) - 22) &amp; "_p"</f>
        <v>a_CYC_1_8_4_p</v>
      </c>
      <c r="B1149">
        <v>0.1</v>
      </c>
      <c r="C1149" t="s">
        <v>4</v>
      </c>
    </row>
    <row r="1150" spans="1:8" x14ac:dyDescent="0.25">
      <c r="A1150" t="str" cm="1">
        <f t="array" aca="1" ref="A1150" ca="1">"a_CYC_2_" &amp; INDIRECT("F" &amp; ROW(C1150) - 23) &amp; "_p"</f>
        <v>a_CYC_2_8_4_p</v>
      </c>
      <c r="B1150">
        <v>0</v>
      </c>
      <c r="C1150" t="s">
        <v>5</v>
      </c>
    </row>
    <row r="1151" spans="1:8" x14ac:dyDescent="0.25">
      <c r="A1151" t="str" cm="1">
        <f t="array" aca="1" ref="A1151" ca="1">"a_CYC_3_" &amp; INDIRECT("F" &amp; ROW(C1151) - 24) &amp; "_p"</f>
        <v>a_CYC_3_8_4_p</v>
      </c>
      <c r="B1151">
        <v>2</v>
      </c>
      <c r="C1151" t="s">
        <v>6</v>
      </c>
    </row>
    <row r="1152" spans="1:8" x14ac:dyDescent="0.25">
      <c r="A1152" s="31" t="s">
        <v>149</v>
      </c>
      <c r="B1152" s="31"/>
      <c r="C1152" s="31"/>
      <c r="D1152" s="25">
        <v>8</v>
      </c>
      <c r="E1152" s="25">
        <v>5</v>
      </c>
      <c r="F1152" s="25" t="s">
        <v>164</v>
      </c>
    </row>
    <row r="1153" spans="1:8" x14ac:dyDescent="0.25">
      <c r="A1153" s="5" t="s">
        <v>3</v>
      </c>
    </row>
    <row r="1154" spans="1:8" x14ac:dyDescent="0.25">
      <c r="A1154" t="str" cm="1">
        <f t="array" aca="1" ref="A1154" ca="1">"a_T_1_" &amp; INDIRECT("F" &amp; ROW(C1154)-2) &amp; "_p"</f>
        <v>a_T_1_8_5_p</v>
      </c>
      <c r="B1154">
        <v>0</v>
      </c>
      <c r="C1154" t="s">
        <v>4</v>
      </c>
    </row>
    <row r="1155" spans="1:8" x14ac:dyDescent="0.25">
      <c r="A1155" t="str" cm="1">
        <f t="array" aca="1" ref="A1155" ca="1">"a_T_2_" &amp; INDIRECT("F" &amp; ROW(C1155)-3) &amp; "_p"</f>
        <v>a_T_2_8_5_p</v>
      </c>
      <c r="B1155">
        <v>0</v>
      </c>
      <c r="C1155" t="s">
        <v>5</v>
      </c>
    </row>
    <row r="1156" spans="1:8" x14ac:dyDescent="0.25">
      <c r="A1156" t="str" cm="1">
        <f t="array" aca="1" ref="A1156" ca="1">"a_T_3_" &amp; INDIRECT("F" &amp; ROW(C1156)-4) &amp; "_p"</f>
        <v>a_T_3_8_5_p</v>
      </c>
      <c r="B1156">
        <v>2</v>
      </c>
      <c r="C1156" t="s">
        <v>6</v>
      </c>
    </row>
    <row r="1157" spans="1:8" x14ac:dyDescent="0.25">
      <c r="A1157" s="5" t="s">
        <v>8</v>
      </c>
    </row>
    <row r="1158" spans="1:8" x14ac:dyDescent="0.25">
      <c r="A1158" t="str" cm="1">
        <f t="array" aca="1" ref="A1158" ca="1">"a_WS_1_" &amp; INDIRECT("F" &amp; ROW(C1158)-6) &amp; "_p"</f>
        <v>a_WS_1_8_5_p</v>
      </c>
      <c r="B1158">
        <v>0</v>
      </c>
      <c r="C1158" t="s">
        <v>4</v>
      </c>
    </row>
    <row r="1159" spans="1:8" x14ac:dyDescent="0.25">
      <c r="A1159" t="str" cm="1">
        <f t="array" aca="1" ref="A1159" ca="1">"a_WS_2_" &amp; INDIRECT("F" &amp; ROW(C1159)-7) &amp; "_p"</f>
        <v>a_WS_2_8_5_p</v>
      </c>
      <c r="B1159">
        <v>0</v>
      </c>
      <c r="C1159" t="s">
        <v>5</v>
      </c>
    </row>
    <row r="1160" spans="1:8" x14ac:dyDescent="0.25">
      <c r="A1160" t="str" cm="1">
        <f t="array" aca="1" ref="A1160" ca="1">"a_WS_3_" &amp; INDIRECT("F" &amp; ROW(C1160)-8) &amp; "_p"</f>
        <v>a_WS_3_8_5_p</v>
      </c>
      <c r="B1160">
        <v>2</v>
      </c>
      <c r="C1160" t="s">
        <v>6</v>
      </c>
    </row>
    <row r="1161" spans="1:8" x14ac:dyDescent="0.25">
      <c r="A1161" s="5" t="s">
        <v>7</v>
      </c>
      <c r="G1161" s="5"/>
      <c r="H1161" s="5"/>
    </row>
    <row r="1162" spans="1:8" x14ac:dyDescent="0.25">
      <c r="A1162" t="str" cm="1">
        <f t="array" aca="1" ref="A1162" ca="1">"a_PREC_1_" &amp; INDIRECT("F" &amp; ROW(C1162) - 10) &amp; "_p"</f>
        <v>a_PREC_1_8_5_p</v>
      </c>
      <c r="B1162">
        <v>0</v>
      </c>
      <c r="C1162" t="s">
        <v>4</v>
      </c>
      <c r="F1162" s="5"/>
    </row>
    <row r="1163" spans="1:8" x14ac:dyDescent="0.25">
      <c r="A1163" t="str" cm="1">
        <f t="array" aca="1" ref="A1163" ca="1">"a_PREC_2_" &amp; INDIRECT("F" &amp; ROW(C1163) - 11) &amp; "_p"</f>
        <v>a_PREC_2_8_5_p</v>
      </c>
      <c r="B1163">
        <v>0</v>
      </c>
      <c r="C1163" t="s">
        <v>5</v>
      </c>
    </row>
    <row r="1164" spans="1:8" x14ac:dyDescent="0.25">
      <c r="A1164" t="str" cm="1">
        <f t="array" aca="1" ref="A1164" ca="1">"a_PREC_3_" &amp; INDIRECT("F" &amp; ROW(C1164) - 12) &amp; "_p"</f>
        <v>a_PREC_3_8_5_p</v>
      </c>
      <c r="B1164">
        <v>2</v>
      </c>
      <c r="C1164" t="s">
        <v>6</v>
      </c>
    </row>
    <row r="1165" spans="1:8" x14ac:dyDescent="0.25">
      <c r="A1165" s="5" t="s">
        <v>9</v>
      </c>
      <c r="G1165" s="5"/>
      <c r="H1165" s="5"/>
    </row>
    <row r="1166" spans="1:8" x14ac:dyDescent="0.25">
      <c r="A1166" t="str" cm="1">
        <f t="array" aca="1" ref="A1166" ca="1">"a_SL_1_" &amp; INDIRECT("F" &amp; ROW(C1166) - 14) &amp; "_p"</f>
        <v>a_SL_1_8_5_p</v>
      </c>
      <c r="B1166">
        <v>0</v>
      </c>
      <c r="C1166" t="s">
        <v>4</v>
      </c>
      <c r="F1166" s="5"/>
    </row>
    <row r="1167" spans="1:8" x14ac:dyDescent="0.25">
      <c r="A1167" t="str" cm="1">
        <f t="array" aca="1" ref="A1167" ca="1">"a_SL_2_" &amp; INDIRECT("F" &amp; ROW(C1167) - 15) &amp; "_p"</f>
        <v>a_SL_2_8_5_p</v>
      </c>
      <c r="B1167">
        <v>0</v>
      </c>
      <c r="C1167" t="s">
        <v>5</v>
      </c>
    </row>
    <row r="1168" spans="1:8" x14ac:dyDescent="0.25">
      <c r="A1168" t="str" cm="1">
        <f t="array" aca="1" ref="A1168" ca="1">"a_SL_3_" &amp; INDIRECT("F" &amp; ROW(C1168) - 16) &amp; "_p"</f>
        <v>a_SL_3_8_5_p</v>
      </c>
      <c r="B1168">
        <v>2</v>
      </c>
      <c r="C1168" t="s">
        <v>6</v>
      </c>
    </row>
    <row r="1169" spans="1:6" x14ac:dyDescent="0.25">
      <c r="A1169" s="5" t="s">
        <v>95</v>
      </c>
    </row>
    <row r="1170" spans="1:6" x14ac:dyDescent="0.25">
      <c r="A1170" t="str" cm="1">
        <f t="array" aca="1" ref="A1170" ca="1">"a_DRO_1_" &amp; INDIRECT("F" &amp; ROW(C1170) - 18) &amp; "_p"</f>
        <v>a_DRO_1_8_5_p</v>
      </c>
      <c r="B1170">
        <v>0</v>
      </c>
      <c r="C1170" t="s">
        <v>4</v>
      </c>
    </row>
    <row r="1171" spans="1:6" x14ac:dyDescent="0.25">
      <c r="A1171" t="str" cm="1">
        <f t="array" aca="1" ref="A1171" ca="1">"a_DRO_2_" &amp; INDIRECT("F" &amp; ROW(C1171) - 19) &amp; "_p"</f>
        <v>a_DRO_2_8_5_p</v>
      </c>
      <c r="B1171">
        <v>0</v>
      </c>
      <c r="C1171" t="s">
        <v>5</v>
      </c>
    </row>
    <row r="1172" spans="1:6" x14ac:dyDescent="0.25">
      <c r="A1172" t="str" cm="1">
        <f t="array" aca="1" ref="A1172" ca="1">"a_DRO_3_" &amp; INDIRECT("F" &amp; ROW(C1172) - 20) &amp; "_p"</f>
        <v>a_DRO_3_8_5_p</v>
      </c>
      <c r="B1172">
        <v>2</v>
      </c>
      <c r="C1172" t="s">
        <v>6</v>
      </c>
    </row>
    <row r="1173" spans="1:6" x14ac:dyDescent="0.25">
      <c r="A1173" s="5" t="s">
        <v>96</v>
      </c>
    </row>
    <row r="1174" spans="1:6" x14ac:dyDescent="0.25">
      <c r="A1174" t="str" cm="1">
        <f t="array" aca="1" ref="A1174" ca="1">"a_CYC_1_" &amp; INDIRECT("F" &amp; ROW(C1174) - 22) &amp; "_p"</f>
        <v>a_CYC_1_8_5_p</v>
      </c>
      <c r="B1174">
        <v>0.1</v>
      </c>
      <c r="C1174" t="s">
        <v>4</v>
      </c>
    </row>
    <row r="1175" spans="1:6" x14ac:dyDescent="0.25">
      <c r="A1175" t="str" cm="1">
        <f t="array" aca="1" ref="A1175" ca="1">"a_CYC_2_" &amp; INDIRECT("F" &amp; ROW(C1175) - 23) &amp; "_p"</f>
        <v>a_CYC_2_8_5_p</v>
      </c>
      <c r="B1175">
        <v>0</v>
      </c>
      <c r="C1175" t="s">
        <v>5</v>
      </c>
    </row>
    <row r="1176" spans="1:6" x14ac:dyDescent="0.25">
      <c r="A1176" t="str" cm="1">
        <f t="array" aca="1" ref="A1176" ca="1">"a_CYC_3_" &amp; INDIRECT("F" &amp; ROW(C1176) - 24) &amp; "_p"</f>
        <v>a_CYC_3_8_5_p</v>
      </c>
      <c r="B1176">
        <v>2</v>
      </c>
      <c r="C1176" t="s">
        <v>6</v>
      </c>
    </row>
    <row r="1177" spans="1:6" x14ac:dyDescent="0.25">
      <c r="A1177" s="31" t="s">
        <v>150</v>
      </c>
      <c r="B1177" s="31"/>
      <c r="C1177" s="31"/>
      <c r="D1177" s="25">
        <v>8</v>
      </c>
      <c r="E1177" s="25">
        <v>6</v>
      </c>
      <c r="F1177" s="25" t="s">
        <v>163</v>
      </c>
    </row>
    <row r="1178" spans="1:6" x14ac:dyDescent="0.25">
      <c r="A1178" s="5" t="s">
        <v>3</v>
      </c>
    </row>
    <row r="1179" spans="1:6" x14ac:dyDescent="0.25">
      <c r="A1179" t="str" cm="1">
        <f t="array" aca="1" ref="A1179" ca="1">"a_T_1_" &amp; INDIRECT("F" &amp; ROW(C1179)-2) &amp; "_p"</f>
        <v>a_T_1_8_6_p</v>
      </c>
      <c r="B1179">
        <v>0</v>
      </c>
      <c r="C1179" t="s">
        <v>4</v>
      </c>
    </row>
    <row r="1180" spans="1:6" x14ac:dyDescent="0.25">
      <c r="A1180" t="str" cm="1">
        <f t="array" aca="1" ref="A1180" ca="1">"a_T_2_" &amp; INDIRECT("F" &amp; ROW(C1180)-3) &amp; "_p"</f>
        <v>a_T_2_8_6_p</v>
      </c>
      <c r="B1180">
        <v>0</v>
      </c>
      <c r="C1180" t="s">
        <v>5</v>
      </c>
    </row>
    <row r="1181" spans="1:6" x14ac:dyDescent="0.25">
      <c r="A1181" t="str" cm="1">
        <f t="array" aca="1" ref="A1181" ca="1">"a_T_3_" &amp; INDIRECT("F" &amp; ROW(C1181)-4) &amp; "_p"</f>
        <v>a_T_3_8_6_p</v>
      </c>
      <c r="B1181">
        <v>2</v>
      </c>
      <c r="C1181" t="s">
        <v>6</v>
      </c>
    </row>
    <row r="1182" spans="1:6" x14ac:dyDescent="0.25">
      <c r="A1182" s="5" t="s">
        <v>8</v>
      </c>
    </row>
    <row r="1183" spans="1:6" x14ac:dyDescent="0.25">
      <c r="A1183" t="str" cm="1">
        <f t="array" aca="1" ref="A1183" ca="1">"a_WS_1_" &amp; INDIRECT("F" &amp; ROW(C1183)-6) &amp; "_p"</f>
        <v>a_WS_1_8_6_p</v>
      </c>
      <c r="B1183">
        <v>0</v>
      </c>
      <c r="C1183" t="s">
        <v>4</v>
      </c>
    </row>
    <row r="1184" spans="1:6" x14ac:dyDescent="0.25">
      <c r="A1184" t="str" cm="1">
        <f t="array" aca="1" ref="A1184" ca="1">"a_WS_2_" &amp; INDIRECT("F" &amp; ROW(C1184)-7) &amp; "_p"</f>
        <v>a_WS_2_8_6_p</v>
      </c>
      <c r="B1184">
        <v>0</v>
      </c>
      <c r="C1184" t="s">
        <v>5</v>
      </c>
    </row>
    <row r="1185" spans="1:8" x14ac:dyDescent="0.25">
      <c r="A1185" t="str" cm="1">
        <f t="array" aca="1" ref="A1185" ca="1">"a_WS_3_" &amp; INDIRECT("F" &amp; ROW(C1185)-8) &amp; "_p"</f>
        <v>a_WS_3_8_6_p</v>
      </c>
      <c r="B1185">
        <v>2</v>
      </c>
      <c r="C1185" t="s">
        <v>6</v>
      </c>
    </row>
    <row r="1186" spans="1:8" x14ac:dyDescent="0.25">
      <c r="A1186" s="5" t="s">
        <v>7</v>
      </c>
      <c r="G1186" s="5"/>
      <c r="H1186" s="5"/>
    </row>
    <row r="1187" spans="1:8" x14ac:dyDescent="0.25">
      <c r="A1187" t="str" cm="1">
        <f t="array" aca="1" ref="A1187" ca="1">"a_PREC_1_" &amp; INDIRECT("F" &amp; ROW(C1187) - 10) &amp; "_p"</f>
        <v>a_PREC_1_8_6_p</v>
      </c>
      <c r="B1187">
        <v>0</v>
      </c>
      <c r="C1187" t="s">
        <v>4</v>
      </c>
      <c r="F1187" s="5"/>
    </row>
    <row r="1188" spans="1:8" x14ac:dyDescent="0.25">
      <c r="A1188" t="str" cm="1">
        <f t="array" aca="1" ref="A1188" ca="1">"a_PREC_2_" &amp; INDIRECT("F" &amp; ROW(C1188) - 11) &amp; "_p"</f>
        <v>a_PREC_2_8_6_p</v>
      </c>
      <c r="B1188">
        <v>0</v>
      </c>
      <c r="C1188" t="s">
        <v>5</v>
      </c>
    </row>
    <row r="1189" spans="1:8" x14ac:dyDescent="0.25">
      <c r="A1189" t="str" cm="1">
        <f t="array" aca="1" ref="A1189" ca="1">"a_PREC_3_" &amp; INDIRECT("F" &amp; ROW(C1189) - 12) &amp; "_p"</f>
        <v>a_PREC_3_8_6_p</v>
      </c>
      <c r="B1189">
        <v>2</v>
      </c>
      <c r="C1189" t="s">
        <v>6</v>
      </c>
    </row>
    <row r="1190" spans="1:8" x14ac:dyDescent="0.25">
      <c r="A1190" s="5" t="s">
        <v>9</v>
      </c>
      <c r="G1190" s="5"/>
      <c r="H1190" s="5"/>
    </row>
    <row r="1191" spans="1:8" x14ac:dyDescent="0.25">
      <c r="A1191" t="str" cm="1">
        <f t="array" aca="1" ref="A1191" ca="1">"a_SL_1_" &amp; INDIRECT("F" &amp; ROW(C1191) - 14) &amp; "_p"</f>
        <v>a_SL_1_8_6_p</v>
      </c>
      <c r="B1191">
        <v>0</v>
      </c>
      <c r="C1191" t="s">
        <v>4</v>
      </c>
      <c r="F1191" s="5"/>
    </row>
    <row r="1192" spans="1:8" x14ac:dyDescent="0.25">
      <c r="A1192" t="str" cm="1">
        <f t="array" aca="1" ref="A1192" ca="1">"a_SL_2_" &amp; INDIRECT("F" &amp; ROW(C1192) - 15) &amp; "_p"</f>
        <v>a_SL_2_8_6_p</v>
      </c>
      <c r="B1192">
        <v>0</v>
      </c>
      <c r="C1192" t="s">
        <v>5</v>
      </c>
    </row>
    <row r="1193" spans="1:8" x14ac:dyDescent="0.25">
      <c r="A1193" t="str" cm="1">
        <f t="array" aca="1" ref="A1193" ca="1">"a_SL_3_" &amp; INDIRECT("F" &amp; ROW(C1193) - 16) &amp; "_p"</f>
        <v>a_SL_3_8_6_p</v>
      </c>
      <c r="B1193">
        <v>2</v>
      </c>
      <c r="C1193" t="s">
        <v>6</v>
      </c>
    </row>
    <row r="1194" spans="1:8" x14ac:dyDescent="0.25">
      <c r="A1194" s="5" t="s">
        <v>95</v>
      </c>
    </row>
    <row r="1195" spans="1:8" x14ac:dyDescent="0.25">
      <c r="A1195" t="str" cm="1">
        <f t="array" aca="1" ref="A1195" ca="1">"a_DRO_1_" &amp; INDIRECT("F" &amp; ROW(C1195) - 18) &amp; "_p"</f>
        <v>a_DRO_1_8_6_p</v>
      </c>
      <c r="B1195">
        <v>0</v>
      </c>
      <c r="C1195" t="s">
        <v>4</v>
      </c>
    </row>
    <row r="1196" spans="1:8" x14ac:dyDescent="0.25">
      <c r="A1196" t="str" cm="1">
        <f t="array" aca="1" ref="A1196" ca="1">"a_DRO_2_" &amp; INDIRECT("F" &amp; ROW(C1196) - 19) &amp; "_p"</f>
        <v>a_DRO_2_8_6_p</v>
      </c>
      <c r="B1196">
        <v>0</v>
      </c>
      <c r="C1196" t="s">
        <v>5</v>
      </c>
    </row>
    <row r="1197" spans="1:8" x14ac:dyDescent="0.25">
      <c r="A1197" t="str" cm="1">
        <f t="array" aca="1" ref="A1197" ca="1">"a_DRO_3_" &amp; INDIRECT("F" &amp; ROW(C1197) - 20) &amp; "_p"</f>
        <v>a_DRO_3_8_6_p</v>
      </c>
      <c r="B1197">
        <v>2</v>
      </c>
      <c r="C1197" t="s">
        <v>6</v>
      </c>
    </row>
    <row r="1198" spans="1:8" x14ac:dyDescent="0.25">
      <c r="A1198" s="5" t="s">
        <v>96</v>
      </c>
    </row>
    <row r="1199" spans="1:8" x14ac:dyDescent="0.25">
      <c r="A1199" t="str" cm="1">
        <f t="array" aca="1" ref="A1199" ca="1">"a_CYC_1_" &amp; INDIRECT("F" &amp; ROW(C1199) - 22) &amp; "_p"</f>
        <v>a_CYC_1_8_6_p</v>
      </c>
      <c r="B1199">
        <v>0.1</v>
      </c>
      <c r="C1199" t="s">
        <v>4</v>
      </c>
    </row>
    <row r="1200" spans="1:8" x14ac:dyDescent="0.25">
      <c r="A1200" t="str" cm="1">
        <f t="array" aca="1" ref="A1200" ca="1">"a_CYC_2_" &amp; INDIRECT("F" &amp; ROW(C1200) - 23) &amp; "_p"</f>
        <v>a_CYC_2_8_6_p</v>
      </c>
      <c r="B1200">
        <v>0</v>
      </c>
      <c r="C1200" t="s">
        <v>5</v>
      </c>
    </row>
    <row r="1201" spans="1:8" x14ac:dyDescent="0.25">
      <c r="A1201" t="str" cm="1">
        <f t="array" aca="1" ref="A1201" ca="1">"a_CYC_3_" &amp; INDIRECT("F" &amp; ROW(C1201) - 24) &amp; "_p"</f>
        <v>a_CYC_3_8_6_p</v>
      </c>
      <c r="B1201">
        <v>2</v>
      </c>
      <c r="C1201" t="s">
        <v>6</v>
      </c>
    </row>
    <row r="1202" spans="1:8" x14ac:dyDescent="0.25">
      <c r="A1202" s="31" t="s">
        <v>151</v>
      </c>
      <c r="B1202" s="31"/>
      <c r="C1202" s="31"/>
      <c r="D1202" s="25">
        <v>9</v>
      </c>
      <c r="E1202" s="25">
        <v>1</v>
      </c>
      <c r="F1202" s="25" t="s">
        <v>162</v>
      </c>
    </row>
    <row r="1203" spans="1:8" x14ac:dyDescent="0.25">
      <c r="A1203" s="5" t="s">
        <v>3</v>
      </c>
    </row>
    <row r="1204" spans="1:8" x14ac:dyDescent="0.25">
      <c r="A1204" t="str" cm="1">
        <f t="array" aca="1" ref="A1204" ca="1">"a_T_1_" &amp; INDIRECT("F" &amp; ROW(C1204)-2) &amp; "_p"</f>
        <v>a_T_1_9_1_p</v>
      </c>
      <c r="B1204">
        <v>0</v>
      </c>
      <c r="C1204" t="s">
        <v>4</v>
      </c>
    </row>
    <row r="1205" spans="1:8" x14ac:dyDescent="0.25">
      <c r="A1205" t="str" cm="1">
        <f t="array" aca="1" ref="A1205" ca="1">"a_T_2_" &amp; INDIRECT("F" &amp; ROW(C1205)-3) &amp; "_p"</f>
        <v>a_T_2_9_1_p</v>
      </c>
      <c r="B1205">
        <v>0</v>
      </c>
      <c r="C1205" t="s">
        <v>5</v>
      </c>
    </row>
    <row r="1206" spans="1:8" x14ac:dyDescent="0.25">
      <c r="A1206" t="str" cm="1">
        <f t="array" aca="1" ref="A1206" ca="1">"a_T_3_" &amp; INDIRECT("F" &amp; ROW(C1206)-4) &amp; "_p"</f>
        <v>a_T_3_9_1_p</v>
      </c>
      <c r="B1206">
        <v>2</v>
      </c>
      <c r="C1206" t="s">
        <v>6</v>
      </c>
    </row>
    <row r="1207" spans="1:8" x14ac:dyDescent="0.25">
      <c r="A1207" s="5" t="s">
        <v>8</v>
      </c>
    </row>
    <row r="1208" spans="1:8" x14ac:dyDescent="0.25">
      <c r="A1208" t="str" cm="1">
        <f t="array" aca="1" ref="A1208" ca="1">"a_WS_1_" &amp; INDIRECT("F" &amp; ROW(C1208)-6) &amp; "_p"</f>
        <v>a_WS_1_9_1_p</v>
      </c>
      <c r="B1208">
        <v>0</v>
      </c>
      <c r="C1208" t="s">
        <v>4</v>
      </c>
    </row>
    <row r="1209" spans="1:8" x14ac:dyDescent="0.25">
      <c r="A1209" t="str" cm="1">
        <f t="array" aca="1" ref="A1209" ca="1">"a_WS_2_" &amp; INDIRECT("F" &amp; ROW(C1209)-7) &amp; "_p"</f>
        <v>a_WS_2_9_1_p</v>
      </c>
      <c r="B1209">
        <v>0</v>
      </c>
      <c r="C1209" t="s">
        <v>5</v>
      </c>
    </row>
    <row r="1210" spans="1:8" x14ac:dyDescent="0.25">
      <c r="A1210" t="str" cm="1">
        <f t="array" aca="1" ref="A1210" ca="1">"a_WS_3_" &amp; INDIRECT("F" &amp; ROW(C1210)-8) &amp; "_p"</f>
        <v>a_WS_3_9_1_p</v>
      </c>
      <c r="B1210">
        <v>2</v>
      </c>
      <c r="C1210" t="s">
        <v>6</v>
      </c>
    </row>
    <row r="1211" spans="1:8" x14ac:dyDescent="0.25">
      <c r="A1211" s="5" t="s">
        <v>7</v>
      </c>
      <c r="G1211" s="5"/>
      <c r="H1211" s="5"/>
    </row>
    <row r="1212" spans="1:8" x14ac:dyDescent="0.25">
      <c r="A1212" t="str" cm="1">
        <f t="array" aca="1" ref="A1212" ca="1">"a_PREC_1_" &amp; INDIRECT("F" &amp; ROW(C1212) - 10) &amp; "_p"</f>
        <v>a_PREC_1_9_1_p</v>
      </c>
      <c r="B1212">
        <v>0</v>
      </c>
      <c r="C1212" t="s">
        <v>4</v>
      </c>
      <c r="F1212" s="5"/>
    </row>
    <row r="1213" spans="1:8" x14ac:dyDescent="0.25">
      <c r="A1213" t="str" cm="1">
        <f t="array" aca="1" ref="A1213" ca="1">"a_PREC_2_" &amp; INDIRECT("F" &amp; ROW(C1213) - 11) &amp; "_p"</f>
        <v>a_PREC_2_9_1_p</v>
      </c>
      <c r="B1213">
        <v>0</v>
      </c>
      <c r="C1213" t="s">
        <v>5</v>
      </c>
    </row>
    <row r="1214" spans="1:8" x14ac:dyDescent="0.25">
      <c r="A1214" t="str" cm="1">
        <f t="array" aca="1" ref="A1214" ca="1">"a_PREC_3_" &amp; INDIRECT("F" &amp; ROW(C1214) - 12) &amp; "_p"</f>
        <v>a_PREC_3_9_1_p</v>
      </c>
      <c r="B1214">
        <v>2</v>
      </c>
      <c r="C1214" t="s">
        <v>6</v>
      </c>
    </row>
    <row r="1215" spans="1:8" x14ac:dyDescent="0.25">
      <c r="A1215" s="5" t="s">
        <v>9</v>
      </c>
      <c r="G1215" s="5"/>
      <c r="H1215" s="5"/>
    </row>
    <row r="1216" spans="1:8" x14ac:dyDescent="0.25">
      <c r="A1216" t="str" cm="1">
        <f t="array" aca="1" ref="A1216" ca="1">"a_SL_1_" &amp; INDIRECT("F" &amp; ROW(C1216) - 14) &amp; "_p"</f>
        <v>a_SL_1_9_1_p</v>
      </c>
      <c r="B1216">
        <v>0</v>
      </c>
      <c r="C1216" t="s">
        <v>4</v>
      </c>
      <c r="F1216" s="5"/>
    </row>
    <row r="1217" spans="1:6" x14ac:dyDescent="0.25">
      <c r="A1217" t="str" cm="1">
        <f t="array" aca="1" ref="A1217" ca="1">"a_SL_2_" &amp; INDIRECT("F" &amp; ROW(C1217) - 15) &amp; "_p"</f>
        <v>a_SL_2_9_1_p</v>
      </c>
      <c r="B1217">
        <v>0</v>
      </c>
      <c r="C1217" t="s">
        <v>5</v>
      </c>
    </row>
    <row r="1218" spans="1:6" x14ac:dyDescent="0.25">
      <c r="A1218" t="str" cm="1">
        <f t="array" aca="1" ref="A1218" ca="1">"a_SL_3_" &amp; INDIRECT("F" &amp; ROW(C1218) - 16) &amp; "_p"</f>
        <v>a_SL_3_9_1_p</v>
      </c>
      <c r="B1218">
        <v>2</v>
      </c>
      <c r="C1218" t="s">
        <v>6</v>
      </c>
    </row>
    <row r="1219" spans="1:6" x14ac:dyDescent="0.25">
      <c r="A1219" s="5" t="s">
        <v>95</v>
      </c>
    </row>
    <row r="1220" spans="1:6" x14ac:dyDescent="0.25">
      <c r="A1220" t="str" cm="1">
        <f t="array" aca="1" ref="A1220" ca="1">"a_DRO_1_" &amp; INDIRECT("F" &amp; ROW(C1220) - 18) &amp; "_p"</f>
        <v>a_DRO_1_9_1_p</v>
      </c>
      <c r="B1220">
        <v>0</v>
      </c>
      <c r="C1220" t="s">
        <v>4</v>
      </c>
    </row>
    <row r="1221" spans="1:6" x14ac:dyDescent="0.25">
      <c r="A1221" t="str" cm="1">
        <f t="array" aca="1" ref="A1221" ca="1">"a_DRO_2_" &amp; INDIRECT("F" &amp; ROW(C1221) - 19) &amp; "_p"</f>
        <v>a_DRO_2_9_1_p</v>
      </c>
      <c r="B1221">
        <v>0</v>
      </c>
      <c r="C1221" t="s">
        <v>5</v>
      </c>
    </row>
    <row r="1222" spans="1:6" x14ac:dyDescent="0.25">
      <c r="A1222" t="str" cm="1">
        <f t="array" aca="1" ref="A1222" ca="1">"a_DRO_3_" &amp; INDIRECT("F" &amp; ROW(C1222) - 20) &amp; "_p"</f>
        <v>a_DRO_3_9_1_p</v>
      </c>
      <c r="B1222">
        <v>2</v>
      </c>
      <c r="C1222" t="s">
        <v>6</v>
      </c>
    </row>
    <row r="1223" spans="1:6" x14ac:dyDescent="0.25">
      <c r="A1223" s="5" t="s">
        <v>96</v>
      </c>
    </row>
    <row r="1224" spans="1:6" x14ac:dyDescent="0.25">
      <c r="A1224" t="str" cm="1">
        <f t="array" aca="1" ref="A1224" ca="1">"a_CYC_1_" &amp; INDIRECT("F" &amp; ROW(C1224) - 22) &amp; "_p"</f>
        <v>a_CYC_1_9_1_p</v>
      </c>
      <c r="B1224">
        <v>0.1</v>
      </c>
      <c r="C1224" t="s">
        <v>4</v>
      </c>
    </row>
    <row r="1225" spans="1:6" x14ac:dyDescent="0.25">
      <c r="A1225" t="str" cm="1">
        <f t="array" aca="1" ref="A1225" ca="1">"a_CYC_2_" &amp; INDIRECT("F" &amp; ROW(C1225) - 23) &amp; "_p"</f>
        <v>a_CYC_2_9_1_p</v>
      </c>
      <c r="B1225">
        <v>0</v>
      </c>
      <c r="C1225" t="s">
        <v>5</v>
      </c>
    </row>
    <row r="1226" spans="1:6" x14ac:dyDescent="0.25">
      <c r="A1226" t="str" cm="1">
        <f t="array" aca="1" ref="A1226" ca="1">"a_CYC_3_" &amp; INDIRECT("F" &amp; ROW(C1226) - 24) &amp; "_p"</f>
        <v>a_CYC_3_9_1_p</v>
      </c>
      <c r="B1226">
        <v>2</v>
      </c>
      <c r="C1226" t="s">
        <v>6</v>
      </c>
    </row>
    <row r="1227" spans="1:6" x14ac:dyDescent="0.25">
      <c r="A1227" s="31" t="s">
        <v>153</v>
      </c>
      <c r="B1227" s="31"/>
      <c r="C1227" s="31"/>
      <c r="D1227" s="25">
        <v>9</v>
      </c>
      <c r="E1227" s="25">
        <v>2</v>
      </c>
      <c r="F1227" s="25" t="s">
        <v>161</v>
      </c>
    </row>
    <row r="1228" spans="1:6" x14ac:dyDescent="0.25">
      <c r="A1228" s="5" t="s">
        <v>3</v>
      </c>
    </row>
    <row r="1229" spans="1:6" x14ac:dyDescent="0.25">
      <c r="A1229" t="str" cm="1">
        <f t="array" aca="1" ref="A1229" ca="1">"a_T_1_" &amp; INDIRECT("F" &amp; ROW(C1229)-2) &amp; "_p"</f>
        <v>a_T_1_9_2_p</v>
      </c>
      <c r="B1229">
        <v>0</v>
      </c>
      <c r="C1229" t="s">
        <v>4</v>
      </c>
    </row>
    <row r="1230" spans="1:6" x14ac:dyDescent="0.25">
      <c r="A1230" t="str" cm="1">
        <f t="array" aca="1" ref="A1230" ca="1">"a_T_2_" &amp; INDIRECT("F" &amp; ROW(C1230)-3) &amp; "_p"</f>
        <v>a_T_2_9_2_p</v>
      </c>
      <c r="B1230">
        <v>0</v>
      </c>
      <c r="C1230" t="s">
        <v>5</v>
      </c>
    </row>
    <row r="1231" spans="1:6" x14ac:dyDescent="0.25">
      <c r="A1231" t="str" cm="1">
        <f t="array" aca="1" ref="A1231" ca="1">"a_T_3_" &amp; INDIRECT("F" &amp; ROW(C1231)-4) &amp; "_p"</f>
        <v>a_T_3_9_2_p</v>
      </c>
      <c r="B1231">
        <v>2</v>
      </c>
      <c r="C1231" t="s">
        <v>6</v>
      </c>
    </row>
    <row r="1232" spans="1:6" x14ac:dyDescent="0.25">
      <c r="A1232" s="5" t="s">
        <v>8</v>
      </c>
    </row>
    <row r="1233" spans="1:8" x14ac:dyDescent="0.25">
      <c r="A1233" t="str" cm="1">
        <f t="array" aca="1" ref="A1233" ca="1">"a_WS_1_" &amp; INDIRECT("F" &amp; ROW(C1233)-6) &amp; "_p"</f>
        <v>a_WS_1_9_2_p</v>
      </c>
      <c r="B1233">
        <v>0</v>
      </c>
      <c r="C1233" t="s">
        <v>4</v>
      </c>
    </row>
    <row r="1234" spans="1:8" x14ac:dyDescent="0.25">
      <c r="A1234" t="str" cm="1">
        <f t="array" aca="1" ref="A1234" ca="1">"a_WS_2_" &amp; INDIRECT("F" &amp; ROW(C1234)-7) &amp; "_p"</f>
        <v>a_WS_2_9_2_p</v>
      </c>
      <c r="B1234">
        <v>0</v>
      </c>
      <c r="C1234" t="s">
        <v>5</v>
      </c>
    </row>
    <row r="1235" spans="1:8" x14ac:dyDescent="0.25">
      <c r="A1235" t="str" cm="1">
        <f t="array" aca="1" ref="A1235" ca="1">"a_WS_3_" &amp; INDIRECT("F" &amp; ROW(C1235)-8) &amp; "_p"</f>
        <v>a_WS_3_9_2_p</v>
      </c>
      <c r="B1235">
        <v>2</v>
      </c>
      <c r="C1235" t="s">
        <v>6</v>
      </c>
    </row>
    <row r="1236" spans="1:8" x14ac:dyDescent="0.25">
      <c r="A1236" s="5" t="s">
        <v>7</v>
      </c>
      <c r="G1236" s="5"/>
      <c r="H1236" s="5"/>
    </row>
    <row r="1237" spans="1:8" x14ac:dyDescent="0.25">
      <c r="A1237" t="str" cm="1">
        <f t="array" aca="1" ref="A1237" ca="1">"a_PREC_1_" &amp; INDIRECT("F" &amp; ROW(C1237) - 10) &amp; "_p"</f>
        <v>a_PREC_1_9_2_p</v>
      </c>
      <c r="B1237">
        <v>0</v>
      </c>
      <c r="C1237" t="s">
        <v>4</v>
      </c>
      <c r="F1237" s="5"/>
    </row>
    <row r="1238" spans="1:8" x14ac:dyDescent="0.25">
      <c r="A1238" t="str" cm="1">
        <f t="array" aca="1" ref="A1238" ca="1">"a_PREC_2_" &amp; INDIRECT("F" &amp; ROW(C1238) - 11) &amp; "_p"</f>
        <v>a_PREC_2_9_2_p</v>
      </c>
      <c r="B1238">
        <v>0</v>
      </c>
      <c r="C1238" t="s">
        <v>5</v>
      </c>
    </row>
    <row r="1239" spans="1:8" x14ac:dyDescent="0.25">
      <c r="A1239" t="str" cm="1">
        <f t="array" aca="1" ref="A1239" ca="1">"a_PREC_3_" &amp; INDIRECT("F" &amp; ROW(C1239) - 12) &amp; "_p"</f>
        <v>a_PREC_3_9_2_p</v>
      </c>
      <c r="B1239">
        <v>2</v>
      </c>
      <c r="C1239" t="s">
        <v>6</v>
      </c>
    </row>
    <row r="1240" spans="1:8" x14ac:dyDescent="0.25">
      <c r="A1240" s="5" t="s">
        <v>9</v>
      </c>
      <c r="G1240" s="5"/>
      <c r="H1240" s="5"/>
    </row>
    <row r="1241" spans="1:8" x14ac:dyDescent="0.25">
      <c r="A1241" t="str" cm="1">
        <f t="array" aca="1" ref="A1241" ca="1">"a_SL_1_" &amp; INDIRECT("F" &amp; ROW(C1241) - 14) &amp; "_p"</f>
        <v>a_SL_1_9_2_p</v>
      </c>
      <c r="B1241">
        <v>0</v>
      </c>
      <c r="C1241" t="s">
        <v>4</v>
      </c>
      <c r="F1241" s="5"/>
    </row>
    <row r="1242" spans="1:8" x14ac:dyDescent="0.25">
      <c r="A1242" t="str" cm="1">
        <f t="array" aca="1" ref="A1242" ca="1">"a_SL_2_" &amp; INDIRECT("F" &amp; ROW(C1242) - 15) &amp; "_p"</f>
        <v>a_SL_2_9_2_p</v>
      </c>
      <c r="B1242">
        <v>0</v>
      </c>
      <c r="C1242" t="s">
        <v>5</v>
      </c>
    </row>
    <row r="1243" spans="1:8" x14ac:dyDescent="0.25">
      <c r="A1243" t="str" cm="1">
        <f t="array" aca="1" ref="A1243" ca="1">"a_SL_3_" &amp; INDIRECT("F" &amp; ROW(C1243) - 16) &amp; "_p"</f>
        <v>a_SL_3_9_2_p</v>
      </c>
      <c r="B1243">
        <v>2</v>
      </c>
      <c r="C1243" t="s">
        <v>6</v>
      </c>
    </row>
    <row r="1244" spans="1:8" x14ac:dyDescent="0.25">
      <c r="A1244" s="5" t="s">
        <v>95</v>
      </c>
    </row>
    <row r="1245" spans="1:8" x14ac:dyDescent="0.25">
      <c r="A1245" t="str" cm="1">
        <f t="array" aca="1" ref="A1245" ca="1">"a_DRO_1_" &amp; INDIRECT("F" &amp; ROW(C1245) - 18) &amp; "_p"</f>
        <v>a_DRO_1_9_2_p</v>
      </c>
      <c r="B1245">
        <v>0</v>
      </c>
      <c r="C1245" t="s">
        <v>4</v>
      </c>
    </row>
    <row r="1246" spans="1:8" x14ac:dyDescent="0.25">
      <c r="A1246" t="str" cm="1">
        <f t="array" aca="1" ref="A1246" ca="1">"a_DRO_2_" &amp; INDIRECT("F" &amp; ROW(C1246) - 19) &amp; "_p"</f>
        <v>a_DRO_2_9_2_p</v>
      </c>
      <c r="B1246">
        <v>0</v>
      </c>
      <c r="C1246" t="s">
        <v>5</v>
      </c>
    </row>
    <row r="1247" spans="1:8" x14ac:dyDescent="0.25">
      <c r="A1247" t="str" cm="1">
        <f t="array" aca="1" ref="A1247" ca="1">"a_DRO_3_" &amp; INDIRECT("F" &amp; ROW(C1247) - 20) &amp; "_p"</f>
        <v>a_DRO_3_9_2_p</v>
      </c>
      <c r="B1247">
        <v>2</v>
      </c>
      <c r="C1247" t="s">
        <v>6</v>
      </c>
    </row>
    <row r="1248" spans="1:8" x14ac:dyDescent="0.25">
      <c r="A1248" s="5" t="s">
        <v>96</v>
      </c>
    </row>
    <row r="1249" spans="1:8" x14ac:dyDescent="0.25">
      <c r="A1249" t="str" cm="1">
        <f t="array" aca="1" ref="A1249" ca="1">"a_CYC_1_" &amp; INDIRECT("F" &amp; ROW(C1249) - 22) &amp; "_p"</f>
        <v>a_CYC_1_9_2_p</v>
      </c>
      <c r="B1249">
        <v>0.1</v>
      </c>
      <c r="C1249" t="s">
        <v>4</v>
      </c>
    </row>
    <row r="1250" spans="1:8" x14ac:dyDescent="0.25">
      <c r="A1250" t="str" cm="1">
        <f t="array" aca="1" ref="A1250" ca="1">"a_CYC_2_" &amp; INDIRECT("F" &amp; ROW(C1250) - 23) &amp; "_p"</f>
        <v>a_CYC_2_9_2_p</v>
      </c>
      <c r="B1250">
        <v>0</v>
      </c>
      <c r="C1250" t="s">
        <v>5</v>
      </c>
    </row>
    <row r="1251" spans="1:8" x14ac:dyDescent="0.25">
      <c r="A1251" t="str" cm="1">
        <f t="array" aca="1" ref="A1251" ca="1">"a_CYC_3_" &amp; INDIRECT("F" &amp; ROW(C1251) - 24) &amp; "_p"</f>
        <v>a_CYC_3_9_2_p</v>
      </c>
      <c r="B1251">
        <v>2</v>
      </c>
      <c r="C1251" t="s">
        <v>6</v>
      </c>
    </row>
    <row r="1252" spans="1:8" x14ac:dyDescent="0.25">
      <c r="A1252" s="31" t="s">
        <v>154</v>
      </c>
      <c r="B1252" s="31"/>
      <c r="C1252" s="31"/>
      <c r="D1252" s="25">
        <v>9</v>
      </c>
      <c r="E1252" s="25">
        <v>3</v>
      </c>
      <c r="F1252" s="25" t="s">
        <v>160</v>
      </c>
    </row>
    <row r="1253" spans="1:8" x14ac:dyDescent="0.25">
      <c r="A1253" s="5" t="s">
        <v>3</v>
      </c>
    </row>
    <row r="1254" spans="1:8" x14ac:dyDescent="0.25">
      <c r="A1254" t="str" cm="1">
        <f t="array" aca="1" ref="A1254" ca="1">"a_T_1_" &amp; INDIRECT("F" &amp; ROW(C1254)-2) &amp; "_p"</f>
        <v>a_T_1_9_3_p</v>
      </c>
      <c r="B1254">
        <v>0</v>
      </c>
      <c r="C1254" t="s">
        <v>4</v>
      </c>
    </row>
    <row r="1255" spans="1:8" x14ac:dyDescent="0.25">
      <c r="A1255" t="str" cm="1">
        <f t="array" aca="1" ref="A1255" ca="1">"a_T_2_" &amp; INDIRECT("F" &amp; ROW(C1255)-3) &amp; "_p"</f>
        <v>a_T_2_9_3_p</v>
      </c>
      <c r="B1255">
        <v>0</v>
      </c>
      <c r="C1255" t="s">
        <v>5</v>
      </c>
    </row>
    <row r="1256" spans="1:8" x14ac:dyDescent="0.25">
      <c r="A1256" t="str" cm="1">
        <f t="array" aca="1" ref="A1256" ca="1">"a_T_3_" &amp; INDIRECT("F" &amp; ROW(C1256)-4) &amp; "_p"</f>
        <v>a_T_3_9_3_p</v>
      </c>
      <c r="B1256">
        <v>2</v>
      </c>
      <c r="C1256" t="s">
        <v>6</v>
      </c>
    </row>
    <row r="1257" spans="1:8" x14ac:dyDescent="0.25">
      <c r="A1257" s="5" t="s">
        <v>8</v>
      </c>
    </row>
    <row r="1258" spans="1:8" x14ac:dyDescent="0.25">
      <c r="A1258" t="str" cm="1">
        <f t="array" aca="1" ref="A1258" ca="1">"a_WS_1_" &amp; INDIRECT("F" &amp; ROW(C1258)-6) &amp; "_p"</f>
        <v>a_WS_1_9_3_p</v>
      </c>
      <c r="B1258">
        <v>0</v>
      </c>
      <c r="C1258" t="s">
        <v>4</v>
      </c>
    </row>
    <row r="1259" spans="1:8" x14ac:dyDescent="0.25">
      <c r="A1259" t="str" cm="1">
        <f t="array" aca="1" ref="A1259" ca="1">"a_WS_2_" &amp; INDIRECT("F" &amp; ROW(C1259)-7) &amp; "_p"</f>
        <v>a_WS_2_9_3_p</v>
      </c>
      <c r="B1259">
        <v>0</v>
      </c>
      <c r="C1259" t="s">
        <v>5</v>
      </c>
    </row>
    <row r="1260" spans="1:8" x14ac:dyDescent="0.25">
      <c r="A1260" t="str" cm="1">
        <f t="array" aca="1" ref="A1260" ca="1">"a_WS_3_" &amp; INDIRECT("F" &amp; ROW(C1260)-8) &amp; "_p"</f>
        <v>a_WS_3_9_3_p</v>
      </c>
      <c r="B1260">
        <v>2</v>
      </c>
      <c r="C1260" t="s">
        <v>6</v>
      </c>
    </row>
    <row r="1261" spans="1:8" x14ac:dyDescent="0.25">
      <c r="A1261" s="5" t="s">
        <v>7</v>
      </c>
      <c r="G1261" s="5"/>
      <c r="H1261" s="5"/>
    </row>
    <row r="1262" spans="1:8" x14ac:dyDescent="0.25">
      <c r="A1262" t="str" cm="1">
        <f t="array" aca="1" ref="A1262" ca="1">"a_PREC_1_" &amp; INDIRECT("F" &amp; ROW(C1262) - 10) &amp; "_p"</f>
        <v>a_PREC_1_9_3_p</v>
      </c>
      <c r="B1262">
        <v>0</v>
      </c>
      <c r="C1262" t="s">
        <v>4</v>
      </c>
      <c r="F1262" s="5"/>
    </row>
    <row r="1263" spans="1:8" x14ac:dyDescent="0.25">
      <c r="A1263" t="str" cm="1">
        <f t="array" aca="1" ref="A1263" ca="1">"a_PREC_2_" &amp; INDIRECT("F" &amp; ROW(C1263) - 11) &amp; "_p"</f>
        <v>a_PREC_2_9_3_p</v>
      </c>
      <c r="B1263">
        <v>0</v>
      </c>
      <c r="C1263" t="s">
        <v>5</v>
      </c>
    </row>
    <row r="1264" spans="1:8" x14ac:dyDescent="0.25">
      <c r="A1264" t="str" cm="1">
        <f t="array" aca="1" ref="A1264" ca="1">"a_PREC_3_" &amp; INDIRECT("F" &amp; ROW(C1264) - 12) &amp; "_p"</f>
        <v>a_PREC_3_9_3_p</v>
      </c>
      <c r="B1264">
        <v>2</v>
      </c>
      <c r="C1264" t="s">
        <v>6</v>
      </c>
    </row>
    <row r="1265" spans="1:8" x14ac:dyDescent="0.25">
      <c r="A1265" s="5" t="s">
        <v>9</v>
      </c>
      <c r="G1265" s="5"/>
      <c r="H1265" s="5"/>
    </row>
    <row r="1266" spans="1:8" x14ac:dyDescent="0.25">
      <c r="A1266" t="str" cm="1">
        <f t="array" aca="1" ref="A1266" ca="1">"a_SL_1_" &amp; INDIRECT("F" &amp; ROW(C1266) - 14) &amp; "_p"</f>
        <v>a_SL_1_9_3_p</v>
      </c>
      <c r="B1266">
        <v>0</v>
      </c>
      <c r="C1266" t="s">
        <v>4</v>
      </c>
      <c r="F1266" s="5"/>
    </row>
    <row r="1267" spans="1:8" x14ac:dyDescent="0.25">
      <c r="A1267" t="str" cm="1">
        <f t="array" aca="1" ref="A1267" ca="1">"a_SL_2_" &amp; INDIRECT("F" &amp; ROW(C1267) - 15) &amp; "_p"</f>
        <v>a_SL_2_9_3_p</v>
      </c>
      <c r="B1267">
        <v>0</v>
      </c>
      <c r="C1267" t="s">
        <v>5</v>
      </c>
    </row>
    <row r="1268" spans="1:8" x14ac:dyDescent="0.25">
      <c r="A1268" t="str" cm="1">
        <f t="array" aca="1" ref="A1268" ca="1">"a_SL_3_" &amp; INDIRECT("F" &amp; ROW(C1268) - 16) &amp; "_p"</f>
        <v>a_SL_3_9_3_p</v>
      </c>
      <c r="B1268">
        <v>2</v>
      </c>
      <c r="C1268" t="s">
        <v>6</v>
      </c>
    </row>
    <row r="1269" spans="1:8" x14ac:dyDescent="0.25">
      <c r="A1269" s="5" t="s">
        <v>95</v>
      </c>
    </row>
    <row r="1270" spans="1:8" x14ac:dyDescent="0.25">
      <c r="A1270" t="str" cm="1">
        <f t="array" aca="1" ref="A1270" ca="1">"a_DRO_1_" &amp; INDIRECT("F" &amp; ROW(C1270) - 18) &amp; "_p"</f>
        <v>a_DRO_1_9_3_p</v>
      </c>
      <c r="B1270">
        <v>0</v>
      </c>
      <c r="C1270" t="s">
        <v>4</v>
      </c>
    </row>
    <row r="1271" spans="1:8" x14ac:dyDescent="0.25">
      <c r="A1271" t="str" cm="1">
        <f t="array" aca="1" ref="A1271" ca="1">"a_DRO_2_" &amp; INDIRECT("F" &amp; ROW(C1271) - 19) &amp; "_p"</f>
        <v>a_DRO_2_9_3_p</v>
      </c>
      <c r="B1271">
        <v>0</v>
      </c>
      <c r="C1271" t="s">
        <v>5</v>
      </c>
    </row>
    <row r="1272" spans="1:8" x14ac:dyDescent="0.25">
      <c r="A1272" t="str" cm="1">
        <f t="array" aca="1" ref="A1272" ca="1">"a_DRO_3_" &amp; INDIRECT("F" &amp; ROW(C1272) - 20) &amp; "_p"</f>
        <v>a_DRO_3_9_3_p</v>
      </c>
      <c r="B1272">
        <v>2</v>
      </c>
      <c r="C1272" t="s">
        <v>6</v>
      </c>
    </row>
    <row r="1273" spans="1:8" x14ac:dyDescent="0.25">
      <c r="A1273" s="5" t="s">
        <v>96</v>
      </c>
    </row>
    <row r="1274" spans="1:8" x14ac:dyDescent="0.25">
      <c r="A1274" t="str" cm="1">
        <f t="array" aca="1" ref="A1274" ca="1">"a_CYC_1_" &amp; INDIRECT("F" &amp; ROW(C1274) - 22) &amp; "_p"</f>
        <v>a_CYC_1_9_3_p</v>
      </c>
      <c r="B1274">
        <v>0.1</v>
      </c>
      <c r="C1274" t="s">
        <v>4</v>
      </c>
    </row>
    <row r="1275" spans="1:8" x14ac:dyDescent="0.25">
      <c r="A1275" t="str" cm="1">
        <f t="array" aca="1" ref="A1275" ca="1">"a_CYC_2_" &amp; INDIRECT("F" &amp; ROW(C1275) - 23) &amp; "_p"</f>
        <v>a_CYC_2_9_3_p</v>
      </c>
      <c r="B1275">
        <v>0</v>
      </c>
      <c r="C1275" t="s">
        <v>5</v>
      </c>
    </row>
    <row r="1276" spans="1:8" x14ac:dyDescent="0.25">
      <c r="A1276" t="str" cm="1">
        <f t="array" aca="1" ref="A1276" ca="1">"a_CYC_3_" &amp; INDIRECT("F" &amp; ROW(C1276) - 24) &amp; "_p"</f>
        <v>a_CYC_3_9_3_p</v>
      </c>
      <c r="B1276">
        <v>2</v>
      </c>
      <c r="C1276" t="s">
        <v>6</v>
      </c>
    </row>
    <row r="1277" spans="1:8" x14ac:dyDescent="0.25">
      <c r="A1277" s="31" t="s">
        <v>152</v>
      </c>
      <c r="B1277" s="31"/>
      <c r="C1277" s="31"/>
      <c r="D1277" s="25">
        <v>9</v>
      </c>
      <c r="E1277" s="25">
        <v>4</v>
      </c>
      <c r="F1277" s="25" t="s">
        <v>159</v>
      </c>
    </row>
    <row r="1278" spans="1:8" x14ac:dyDescent="0.25">
      <c r="A1278" s="5" t="s">
        <v>3</v>
      </c>
    </row>
    <row r="1279" spans="1:8" x14ac:dyDescent="0.25">
      <c r="A1279" t="str" cm="1">
        <f t="array" aca="1" ref="A1279" ca="1">"a_T_1_" &amp; INDIRECT("F" &amp; ROW(C1279)-2) &amp; "_p"</f>
        <v>a_T_1_9_4_p</v>
      </c>
      <c r="B1279">
        <v>0</v>
      </c>
      <c r="C1279" t="s">
        <v>4</v>
      </c>
    </row>
    <row r="1280" spans="1:8" x14ac:dyDescent="0.25">
      <c r="A1280" t="str" cm="1">
        <f t="array" aca="1" ref="A1280" ca="1">"a_T_2_" &amp; INDIRECT("F" &amp; ROW(C1280)-3) &amp; "_p"</f>
        <v>a_T_2_9_4_p</v>
      </c>
      <c r="B1280">
        <v>0</v>
      </c>
      <c r="C1280" t="s">
        <v>5</v>
      </c>
    </row>
    <row r="1281" spans="1:8" x14ac:dyDescent="0.25">
      <c r="A1281" t="str" cm="1">
        <f t="array" aca="1" ref="A1281" ca="1">"a_T_3_" &amp; INDIRECT("F" &amp; ROW(C1281)-4) &amp; "_p"</f>
        <v>a_T_3_9_4_p</v>
      </c>
      <c r="B1281">
        <v>2</v>
      </c>
      <c r="C1281" t="s">
        <v>6</v>
      </c>
    </row>
    <row r="1282" spans="1:8" x14ac:dyDescent="0.25">
      <c r="A1282" s="5" t="s">
        <v>8</v>
      </c>
    </row>
    <row r="1283" spans="1:8" x14ac:dyDescent="0.25">
      <c r="A1283" t="str" cm="1">
        <f t="array" aca="1" ref="A1283" ca="1">"a_WS_1_" &amp; INDIRECT("F" &amp; ROW(C1283)-6) &amp; "_p"</f>
        <v>a_WS_1_9_4_p</v>
      </c>
      <c r="B1283">
        <v>0</v>
      </c>
      <c r="C1283" t="s">
        <v>4</v>
      </c>
    </row>
    <row r="1284" spans="1:8" x14ac:dyDescent="0.25">
      <c r="A1284" t="str" cm="1">
        <f t="array" aca="1" ref="A1284" ca="1">"a_WS_2_" &amp; INDIRECT("F" &amp; ROW(C1284)-7) &amp; "_p"</f>
        <v>a_WS_2_9_4_p</v>
      </c>
      <c r="B1284">
        <v>0</v>
      </c>
      <c r="C1284" t="s">
        <v>5</v>
      </c>
    </row>
    <row r="1285" spans="1:8" x14ac:dyDescent="0.25">
      <c r="A1285" t="str" cm="1">
        <f t="array" aca="1" ref="A1285" ca="1">"a_WS_3_" &amp; INDIRECT("F" &amp; ROW(C1285)-8) &amp; "_p"</f>
        <v>a_WS_3_9_4_p</v>
      </c>
      <c r="B1285">
        <v>2</v>
      </c>
      <c r="C1285" t="s">
        <v>6</v>
      </c>
    </row>
    <row r="1286" spans="1:8" x14ac:dyDescent="0.25">
      <c r="A1286" s="5" t="s">
        <v>7</v>
      </c>
      <c r="G1286" s="5"/>
      <c r="H1286" s="5"/>
    </row>
    <row r="1287" spans="1:8" x14ac:dyDescent="0.25">
      <c r="A1287" t="str" cm="1">
        <f t="array" aca="1" ref="A1287" ca="1">"a_PREC_1_" &amp; INDIRECT("F" &amp; ROW(C1287) - 10) &amp; "_p"</f>
        <v>a_PREC_1_9_4_p</v>
      </c>
      <c r="B1287">
        <v>0</v>
      </c>
      <c r="C1287" t="s">
        <v>4</v>
      </c>
      <c r="F1287" s="5"/>
    </row>
    <row r="1288" spans="1:8" x14ac:dyDescent="0.25">
      <c r="A1288" t="str" cm="1">
        <f t="array" aca="1" ref="A1288" ca="1">"a_PREC_2_" &amp; INDIRECT("F" &amp; ROW(C1288) - 11) &amp; "_p"</f>
        <v>a_PREC_2_9_4_p</v>
      </c>
      <c r="B1288">
        <v>0</v>
      </c>
      <c r="C1288" t="s">
        <v>5</v>
      </c>
    </row>
    <row r="1289" spans="1:8" x14ac:dyDescent="0.25">
      <c r="A1289" t="str" cm="1">
        <f t="array" aca="1" ref="A1289" ca="1">"a_PREC_3_" &amp; INDIRECT("F" &amp; ROW(C1289) - 12) &amp; "_p"</f>
        <v>a_PREC_3_9_4_p</v>
      </c>
      <c r="B1289">
        <v>2</v>
      </c>
      <c r="C1289" t="s">
        <v>6</v>
      </c>
    </row>
    <row r="1290" spans="1:8" x14ac:dyDescent="0.25">
      <c r="A1290" s="5" t="s">
        <v>9</v>
      </c>
      <c r="G1290" s="5"/>
      <c r="H1290" s="5"/>
    </row>
    <row r="1291" spans="1:8" x14ac:dyDescent="0.25">
      <c r="A1291" t="str" cm="1">
        <f t="array" aca="1" ref="A1291" ca="1">"a_SL_1_" &amp; INDIRECT("F" &amp; ROW(C1291) - 14) &amp; "_p"</f>
        <v>a_SL_1_9_4_p</v>
      </c>
      <c r="B1291">
        <v>0</v>
      </c>
      <c r="C1291" t="s">
        <v>4</v>
      </c>
      <c r="F1291" s="5"/>
    </row>
    <row r="1292" spans="1:8" x14ac:dyDescent="0.25">
      <c r="A1292" t="str" cm="1">
        <f t="array" aca="1" ref="A1292" ca="1">"a_SL_2_" &amp; INDIRECT("F" &amp; ROW(C1292) - 15) &amp; "_p"</f>
        <v>a_SL_2_9_4_p</v>
      </c>
      <c r="B1292">
        <v>0</v>
      </c>
      <c r="C1292" t="s">
        <v>5</v>
      </c>
    </row>
    <row r="1293" spans="1:8" x14ac:dyDescent="0.25">
      <c r="A1293" t="str" cm="1">
        <f t="array" aca="1" ref="A1293" ca="1">"a_SL_3_" &amp; INDIRECT("F" &amp; ROW(C1293) - 16) &amp; "_p"</f>
        <v>a_SL_3_9_4_p</v>
      </c>
      <c r="B1293">
        <v>2</v>
      </c>
      <c r="C1293" t="s">
        <v>6</v>
      </c>
    </row>
    <row r="1294" spans="1:8" x14ac:dyDescent="0.25">
      <c r="A1294" s="5" t="s">
        <v>95</v>
      </c>
    </row>
    <row r="1295" spans="1:8" x14ac:dyDescent="0.25">
      <c r="A1295" t="str" cm="1">
        <f t="array" aca="1" ref="A1295" ca="1">"a_DRO_1_" &amp; INDIRECT("F" &amp; ROW(C1295) - 18) &amp; "_p"</f>
        <v>a_DRO_1_9_4_p</v>
      </c>
      <c r="B1295">
        <v>0</v>
      </c>
      <c r="C1295" t="s">
        <v>4</v>
      </c>
    </row>
    <row r="1296" spans="1:8" x14ac:dyDescent="0.25">
      <c r="A1296" t="str" cm="1">
        <f t="array" aca="1" ref="A1296" ca="1">"a_DRO_2_" &amp; INDIRECT("F" &amp; ROW(C1296) - 19) &amp; "_p"</f>
        <v>a_DRO_2_9_4_p</v>
      </c>
      <c r="B1296">
        <v>0</v>
      </c>
      <c r="C1296" t="s">
        <v>5</v>
      </c>
    </row>
    <row r="1297" spans="1:8" x14ac:dyDescent="0.25">
      <c r="A1297" t="str" cm="1">
        <f t="array" aca="1" ref="A1297" ca="1">"a_DRO_3_" &amp; INDIRECT("F" &amp; ROW(C1297) - 20) &amp; "_p"</f>
        <v>a_DRO_3_9_4_p</v>
      </c>
      <c r="B1297">
        <v>2</v>
      </c>
      <c r="C1297" t="s">
        <v>6</v>
      </c>
    </row>
    <row r="1298" spans="1:8" x14ac:dyDescent="0.25">
      <c r="A1298" s="5" t="s">
        <v>96</v>
      </c>
    </row>
    <row r="1299" spans="1:8" x14ac:dyDescent="0.25">
      <c r="A1299" t="str" cm="1">
        <f t="array" aca="1" ref="A1299" ca="1">"a_CYC_1_" &amp; INDIRECT("F" &amp; ROW(C1299) - 22) &amp; "_p"</f>
        <v>a_CYC_1_9_4_p</v>
      </c>
      <c r="B1299">
        <v>0.1</v>
      </c>
      <c r="C1299" t="s">
        <v>4</v>
      </c>
    </row>
    <row r="1300" spans="1:8" x14ac:dyDescent="0.25">
      <c r="A1300" t="str" cm="1">
        <f t="array" aca="1" ref="A1300" ca="1">"a_CYC_2_" &amp; INDIRECT("F" &amp; ROW(C1300) - 23) &amp; "_p"</f>
        <v>a_CYC_2_9_4_p</v>
      </c>
      <c r="B1300">
        <v>0</v>
      </c>
      <c r="C1300" t="s">
        <v>5</v>
      </c>
    </row>
    <row r="1301" spans="1:8" x14ac:dyDescent="0.25">
      <c r="A1301" t="str" cm="1">
        <f t="array" aca="1" ref="A1301" ca="1">"a_CYC_3_" &amp; INDIRECT("F" &amp; ROW(C1301) - 24) &amp; "_p"</f>
        <v>a_CYC_3_9_4_p</v>
      </c>
      <c r="B1301">
        <v>2</v>
      </c>
      <c r="C1301" t="s">
        <v>6</v>
      </c>
    </row>
    <row r="1302" spans="1:8" x14ac:dyDescent="0.25">
      <c r="A1302" s="31" t="s">
        <v>155</v>
      </c>
      <c r="B1302" s="31"/>
      <c r="C1302" s="31"/>
      <c r="D1302" s="25">
        <v>9</v>
      </c>
      <c r="E1302" s="25">
        <v>5</v>
      </c>
      <c r="F1302" s="25" t="s">
        <v>158</v>
      </c>
    </row>
    <row r="1303" spans="1:8" x14ac:dyDescent="0.25">
      <c r="A1303" s="5" t="s">
        <v>3</v>
      </c>
    </row>
    <row r="1304" spans="1:8" x14ac:dyDescent="0.25">
      <c r="A1304" t="str" cm="1">
        <f t="array" aca="1" ref="A1304" ca="1">"a_T_1_" &amp; INDIRECT("F" &amp; ROW(C1304)-2) &amp; "_p"</f>
        <v>a_T_1_9_5_p</v>
      </c>
      <c r="B1304">
        <v>0</v>
      </c>
      <c r="C1304" t="s">
        <v>4</v>
      </c>
    </row>
    <row r="1305" spans="1:8" x14ac:dyDescent="0.25">
      <c r="A1305" t="str" cm="1">
        <f t="array" aca="1" ref="A1305" ca="1">"a_T_2_" &amp; INDIRECT("F" &amp; ROW(C1305)-3) &amp; "_p"</f>
        <v>a_T_2_9_5_p</v>
      </c>
      <c r="B1305">
        <v>0</v>
      </c>
      <c r="C1305" t="s">
        <v>5</v>
      </c>
    </row>
    <row r="1306" spans="1:8" x14ac:dyDescent="0.25">
      <c r="A1306" t="str" cm="1">
        <f t="array" aca="1" ref="A1306" ca="1">"a_T_3_" &amp; INDIRECT("F" &amp; ROW(C1306)-4) &amp; "_p"</f>
        <v>a_T_3_9_5_p</v>
      </c>
      <c r="B1306">
        <v>2</v>
      </c>
      <c r="C1306" t="s">
        <v>6</v>
      </c>
    </row>
    <row r="1307" spans="1:8" x14ac:dyDescent="0.25">
      <c r="A1307" s="5" t="s">
        <v>8</v>
      </c>
    </row>
    <row r="1308" spans="1:8" x14ac:dyDescent="0.25">
      <c r="A1308" t="str" cm="1">
        <f t="array" aca="1" ref="A1308" ca="1">"a_WS_1_" &amp; INDIRECT("F" &amp; ROW(C1308)-6) &amp; "_p"</f>
        <v>a_WS_1_9_5_p</v>
      </c>
      <c r="B1308">
        <v>0</v>
      </c>
      <c r="C1308" t="s">
        <v>4</v>
      </c>
    </row>
    <row r="1309" spans="1:8" x14ac:dyDescent="0.25">
      <c r="A1309" t="str" cm="1">
        <f t="array" aca="1" ref="A1309" ca="1">"a_WS_2_" &amp; INDIRECT("F" &amp; ROW(C1309)-7) &amp; "_p"</f>
        <v>a_WS_2_9_5_p</v>
      </c>
      <c r="B1309">
        <v>0</v>
      </c>
      <c r="C1309" t="s">
        <v>5</v>
      </c>
    </row>
    <row r="1310" spans="1:8" x14ac:dyDescent="0.25">
      <c r="A1310" t="str" cm="1">
        <f t="array" aca="1" ref="A1310" ca="1">"a_WS_3_" &amp; INDIRECT("F" &amp; ROW(C1310)-8) &amp; "_p"</f>
        <v>a_WS_3_9_5_p</v>
      </c>
      <c r="B1310">
        <v>2</v>
      </c>
      <c r="C1310" t="s">
        <v>6</v>
      </c>
    </row>
    <row r="1311" spans="1:8" x14ac:dyDescent="0.25">
      <c r="A1311" s="5" t="s">
        <v>7</v>
      </c>
      <c r="G1311" s="5"/>
      <c r="H1311" s="5"/>
    </row>
    <row r="1312" spans="1:8" x14ac:dyDescent="0.25">
      <c r="A1312" t="str" cm="1">
        <f t="array" aca="1" ref="A1312" ca="1">"a_PREC_1_" &amp; INDIRECT("F" &amp; ROW(C1312) - 10) &amp; "_p"</f>
        <v>a_PREC_1_9_5_p</v>
      </c>
      <c r="B1312">
        <v>0</v>
      </c>
      <c r="C1312" t="s">
        <v>4</v>
      </c>
      <c r="F1312" s="5"/>
    </row>
    <row r="1313" spans="1:8" x14ac:dyDescent="0.25">
      <c r="A1313" t="str" cm="1">
        <f t="array" aca="1" ref="A1313" ca="1">"a_PREC_2_" &amp; INDIRECT("F" &amp; ROW(C1313) - 11) &amp; "_p"</f>
        <v>a_PREC_2_9_5_p</v>
      </c>
      <c r="B1313">
        <v>0</v>
      </c>
      <c r="C1313" t="s">
        <v>5</v>
      </c>
    </row>
    <row r="1314" spans="1:8" x14ac:dyDescent="0.25">
      <c r="A1314" t="str" cm="1">
        <f t="array" aca="1" ref="A1314" ca="1">"a_PREC_3_" &amp; INDIRECT("F" &amp; ROW(C1314) - 12) &amp; "_p"</f>
        <v>a_PREC_3_9_5_p</v>
      </c>
      <c r="B1314">
        <v>2</v>
      </c>
      <c r="C1314" t="s">
        <v>6</v>
      </c>
    </row>
    <row r="1315" spans="1:8" x14ac:dyDescent="0.25">
      <c r="A1315" s="5" t="s">
        <v>9</v>
      </c>
      <c r="G1315" s="5"/>
      <c r="H1315" s="5"/>
    </row>
    <row r="1316" spans="1:8" x14ac:dyDescent="0.25">
      <c r="A1316" t="str" cm="1">
        <f t="array" aca="1" ref="A1316" ca="1">"a_SL_1_" &amp; INDIRECT("F" &amp; ROW(C1316) - 14) &amp; "_p"</f>
        <v>a_SL_1_9_5_p</v>
      </c>
      <c r="B1316">
        <v>0</v>
      </c>
      <c r="C1316" t="s">
        <v>4</v>
      </c>
      <c r="F1316" s="5"/>
    </row>
    <row r="1317" spans="1:8" x14ac:dyDescent="0.25">
      <c r="A1317" t="str" cm="1">
        <f t="array" aca="1" ref="A1317" ca="1">"a_SL_2_" &amp; INDIRECT("F" &amp; ROW(C1317) - 15) &amp; "_p"</f>
        <v>a_SL_2_9_5_p</v>
      </c>
      <c r="B1317">
        <v>0</v>
      </c>
      <c r="C1317" t="s">
        <v>5</v>
      </c>
    </row>
    <row r="1318" spans="1:8" x14ac:dyDescent="0.25">
      <c r="A1318" t="str" cm="1">
        <f t="array" aca="1" ref="A1318" ca="1">"a_SL_3_" &amp; INDIRECT("F" &amp; ROW(C1318) - 16) &amp; "_p"</f>
        <v>a_SL_3_9_5_p</v>
      </c>
      <c r="B1318">
        <v>2</v>
      </c>
      <c r="C1318" t="s">
        <v>6</v>
      </c>
    </row>
    <row r="1319" spans="1:8" x14ac:dyDescent="0.25">
      <c r="A1319" s="5" t="s">
        <v>95</v>
      </c>
    </row>
    <row r="1320" spans="1:8" x14ac:dyDescent="0.25">
      <c r="A1320" t="str" cm="1">
        <f t="array" aca="1" ref="A1320" ca="1">"a_DRO_1_" &amp; INDIRECT("F" &amp; ROW(C1320) - 18) &amp; "_p"</f>
        <v>a_DRO_1_9_5_p</v>
      </c>
      <c r="B1320">
        <v>0</v>
      </c>
      <c r="C1320" t="s">
        <v>4</v>
      </c>
    </row>
    <row r="1321" spans="1:8" x14ac:dyDescent="0.25">
      <c r="A1321" t="str" cm="1">
        <f t="array" aca="1" ref="A1321" ca="1">"a_DRO_2_" &amp; INDIRECT("F" &amp; ROW(C1321) - 19) &amp; "_p"</f>
        <v>a_DRO_2_9_5_p</v>
      </c>
      <c r="B1321">
        <v>0</v>
      </c>
      <c r="C1321" t="s">
        <v>5</v>
      </c>
    </row>
    <row r="1322" spans="1:8" x14ac:dyDescent="0.25">
      <c r="A1322" t="str" cm="1">
        <f t="array" aca="1" ref="A1322" ca="1">"a_DRO_3_" &amp; INDIRECT("F" &amp; ROW(C1322) - 20) &amp; "_p"</f>
        <v>a_DRO_3_9_5_p</v>
      </c>
      <c r="B1322">
        <v>2</v>
      </c>
      <c r="C1322" t="s">
        <v>6</v>
      </c>
    </row>
    <row r="1323" spans="1:8" x14ac:dyDescent="0.25">
      <c r="A1323" s="5" t="s">
        <v>96</v>
      </c>
    </row>
    <row r="1324" spans="1:8" x14ac:dyDescent="0.25">
      <c r="A1324" t="str" cm="1">
        <f t="array" aca="1" ref="A1324" ca="1">"a_CYC_1_" &amp; INDIRECT("F" &amp; ROW(C1324) - 22) &amp; "_p"</f>
        <v>a_CYC_1_9_5_p</v>
      </c>
      <c r="B1324">
        <v>0.1</v>
      </c>
      <c r="C1324" t="s">
        <v>4</v>
      </c>
    </row>
    <row r="1325" spans="1:8" x14ac:dyDescent="0.25">
      <c r="A1325" t="str" cm="1">
        <f t="array" aca="1" ref="A1325" ca="1">"a_CYC_2_" &amp; INDIRECT("F" &amp; ROW(C1325) - 23) &amp; "_p"</f>
        <v>a_CYC_2_9_5_p</v>
      </c>
      <c r="B1325">
        <v>0</v>
      </c>
      <c r="C1325" t="s">
        <v>5</v>
      </c>
    </row>
    <row r="1326" spans="1:8" x14ac:dyDescent="0.25">
      <c r="A1326" t="str" cm="1">
        <f t="array" aca="1" ref="A1326" ca="1">"a_CYC_3_" &amp; INDIRECT("F" &amp; ROW(C1326) - 24) &amp; "_p"</f>
        <v>a_CYC_3_9_5_p</v>
      </c>
      <c r="B1326">
        <v>2</v>
      </c>
      <c r="C1326" t="s">
        <v>6</v>
      </c>
    </row>
    <row r="1327" spans="1:8" x14ac:dyDescent="0.25">
      <c r="A1327" s="31" t="s">
        <v>156</v>
      </c>
      <c r="B1327" s="31"/>
      <c r="C1327" s="31"/>
      <c r="D1327" s="25">
        <v>9</v>
      </c>
      <c r="E1327" s="25">
        <v>6</v>
      </c>
      <c r="F1327" s="25" t="s">
        <v>157</v>
      </c>
    </row>
    <row r="1328" spans="1:8" x14ac:dyDescent="0.25">
      <c r="A1328" s="5" t="s">
        <v>3</v>
      </c>
    </row>
    <row r="1329" spans="1:9" x14ac:dyDescent="0.25">
      <c r="A1329" t="str" cm="1">
        <f t="array" aca="1" ref="A1329" ca="1">"a_T_1_" &amp; INDIRECT("F" &amp; ROW(C1329)-2) &amp; "_p"</f>
        <v>a_T_1_9_6_p</v>
      </c>
      <c r="B1329">
        <v>0</v>
      </c>
      <c r="C1329" t="s">
        <v>4</v>
      </c>
    </row>
    <row r="1330" spans="1:9" x14ac:dyDescent="0.25">
      <c r="A1330" t="str" cm="1">
        <f t="array" aca="1" ref="A1330" ca="1">"a_T_2_" &amp; INDIRECT("F" &amp; ROW(C1330)-3) &amp; "_p"</f>
        <v>a_T_2_9_6_p</v>
      </c>
      <c r="B1330">
        <v>0</v>
      </c>
      <c r="C1330" t="s">
        <v>5</v>
      </c>
    </row>
    <row r="1331" spans="1:9" x14ac:dyDescent="0.25">
      <c r="A1331" t="str" cm="1">
        <f t="array" aca="1" ref="A1331" ca="1">"a_T_3_" &amp; INDIRECT("F" &amp; ROW(C1331)-4) &amp; "_p"</f>
        <v>a_T_3_9_6_p</v>
      </c>
      <c r="B1331">
        <v>2</v>
      </c>
      <c r="C1331" t="s">
        <v>6</v>
      </c>
    </row>
    <row r="1332" spans="1:9" x14ac:dyDescent="0.25">
      <c r="A1332" s="5" t="s">
        <v>8</v>
      </c>
      <c r="I1332">
        <f>H1356*6</f>
        <v>0</v>
      </c>
    </row>
    <row r="1333" spans="1:9" x14ac:dyDescent="0.25">
      <c r="A1333" t="str" cm="1">
        <f t="array" aca="1" ref="A1333" ca="1">"a_WS_1_" &amp; INDIRECT("F" &amp; ROW(C1333)-6) &amp; "_p"</f>
        <v>a_WS_1_9_6_p</v>
      </c>
      <c r="B1333">
        <v>0</v>
      </c>
      <c r="C1333" t="s">
        <v>4</v>
      </c>
    </row>
    <row r="1334" spans="1:9" x14ac:dyDescent="0.25">
      <c r="A1334" t="str" cm="1">
        <f t="array" aca="1" ref="A1334" ca="1">"a_WS_2_" &amp; INDIRECT("F" &amp; ROW(C1334)-7) &amp; "_p"</f>
        <v>a_WS_2_9_6_p</v>
      </c>
      <c r="B1334">
        <v>0</v>
      </c>
      <c r="C1334" t="s">
        <v>5</v>
      </c>
    </row>
    <row r="1335" spans="1:9" x14ac:dyDescent="0.25">
      <c r="A1335" t="str" cm="1">
        <f t="array" aca="1" ref="A1335" ca="1">"a_WS_3_" &amp; INDIRECT("F" &amp; ROW(C1335)-8) &amp; "_p"</f>
        <v>a_WS_3_9_6_p</v>
      </c>
      <c r="B1335">
        <v>2</v>
      </c>
      <c r="C1335" t="s">
        <v>6</v>
      </c>
    </row>
    <row r="1336" spans="1:9" x14ac:dyDescent="0.25">
      <c r="A1336" s="5" t="s">
        <v>7</v>
      </c>
      <c r="G1336" s="5"/>
      <c r="H1336" s="5"/>
    </row>
    <row r="1337" spans="1:9" x14ac:dyDescent="0.25">
      <c r="A1337" t="str" cm="1">
        <f t="array" aca="1" ref="A1337" ca="1">"a_PREC_1_" &amp; INDIRECT("F" &amp; ROW(C1337) - 10) &amp; "_p"</f>
        <v>a_PREC_1_9_6_p</v>
      </c>
      <c r="B1337">
        <v>0</v>
      </c>
      <c r="C1337" t="s">
        <v>4</v>
      </c>
      <c r="F1337" s="5"/>
    </row>
    <row r="1338" spans="1:9" x14ac:dyDescent="0.25">
      <c r="A1338" t="str" cm="1">
        <f t="array" aca="1" ref="A1338" ca="1">"a_PREC_2_" &amp; INDIRECT("F" &amp; ROW(C1338) - 11) &amp; "_p"</f>
        <v>a_PREC_2_9_6_p</v>
      </c>
      <c r="B1338">
        <v>0</v>
      </c>
      <c r="C1338" t="s">
        <v>5</v>
      </c>
    </row>
    <row r="1339" spans="1:9" x14ac:dyDescent="0.25">
      <c r="A1339" t="str" cm="1">
        <f t="array" aca="1" ref="A1339" ca="1">"a_PREC_3_" &amp; INDIRECT("F" &amp; ROW(C1339) - 12) &amp; "_p"</f>
        <v>a_PREC_3_9_6_p</v>
      </c>
      <c r="B1339">
        <v>2</v>
      </c>
      <c r="C1339" t="s">
        <v>6</v>
      </c>
    </row>
    <row r="1340" spans="1:9" x14ac:dyDescent="0.25">
      <c r="A1340" s="5" t="s">
        <v>9</v>
      </c>
      <c r="G1340" s="5"/>
      <c r="H1340" s="5"/>
    </row>
    <row r="1341" spans="1:9" x14ac:dyDescent="0.25">
      <c r="A1341" t="str" cm="1">
        <f t="array" aca="1" ref="A1341" ca="1">"a_SL_1_" &amp; INDIRECT("F" &amp; ROW(C1341) - 14) &amp; "_p"</f>
        <v>a_SL_1_9_6_p</v>
      </c>
      <c r="B1341">
        <v>0</v>
      </c>
      <c r="C1341" t="s">
        <v>4</v>
      </c>
      <c r="F1341" s="5"/>
    </row>
    <row r="1342" spans="1:9" x14ac:dyDescent="0.25">
      <c r="A1342" t="str" cm="1">
        <f t="array" aca="1" ref="A1342" ca="1">"a_SL_2_" &amp; INDIRECT("F" &amp; ROW(C1342) - 15) &amp; "_p"</f>
        <v>a_SL_2_9_6_p</v>
      </c>
      <c r="B1342">
        <v>0</v>
      </c>
      <c r="C1342" t="s">
        <v>5</v>
      </c>
    </row>
    <row r="1343" spans="1:9" x14ac:dyDescent="0.25">
      <c r="A1343" t="str" cm="1">
        <f t="array" aca="1" ref="A1343" ca="1">"a_SL_3_" &amp; INDIRECT("F" &amp; ROW(C1343) - 16) &amp; "_p"</f>
        <v>a_SL_3_9_6_p</v>
      </c>
      <c r="B1343">
        <v>2</v>
      </c>
      <c r="C1343" t="s">
        <v>6</v>
      </c>
    </row>
    <row r="1344" spans="1:9" x14ac:dyDescent="0.25">
      <c r="A1344" s="5" t="s">
        <v>95</v>
      </c>
    </row>
    <row r="1345" spans="1:3" x14ac:dyDescent="0.25">
      <c r="A1345" t="str" cm="1">
        <f t="array" aca="1" ref="A1345" ca="1">"a_DRO_1_" &amp; INDIRECT("F" &amp; ROW(C1345) - 18) &amp; "_p"</f>
        <v>a_DRO_1_9_6_p</v>
      </c>
      <c r="B1345">
        <v>0</v>
      </c>
      <c r="C1345" t="s">
        <v>4</v>
      </c>
    </row>
    <row r="1346" spans="1:3" x14ac:dyDescent="0.25">
      <c r="A1346" t="str" cm="1">
        <f t="array" aca="1" ref="A1346" ca="1">"a_DRO_2_" &amp; INDIRECT("F" &amp; ROW(C1346) - 19) &amp; "_p"</f>
        <v>a_DRO_2_9_6_p</v>
      </c>
      <c r="B1346">
        <v>0</v>
      </c>
      <c r="C1346" t="s">
        <v>5</v>
      </c>
    </row>
    <row r="1347" spans="1:3" x14ac:dyDescent="0.25">
      <c r="A1347" t="str" cm="1">
        <f t="array" aca="1" ref="A1347" ca="1">"a_DRO_3_" &amp; INDIRECT("F" &amp; ROW(C1347) - 20) &amp; "_p"</f>
        <v>a_DRO_3_9_6_p</v>
      </c>
      <c r="B1347">
        <v>2</v>
      </c>
      <c r="C1347" t="s">
        <v>6</v>
      </c>
    </row>
    <row r="1348" spans="1:3" x14ac:dyDescent="0.25">
      <c r="A1348" s="5" t="s">
        <v>96</v>
      </c>
    </row>
    <row r="1349" spans="1:3" x14ac:dyDescent="0.25">
      <c r="A1349" t="str" cm="1">
        <f t="array" aca="1" ref="A1349" ca="1">"a_CYC_1_" &amp; INDIRECT("F" &amp; ROW(C1349) - 22) &amp; "_p"</f>
        <v>a_CYC_1_9_6_p</v>
      </c>
      <c r="B1349">
        <v>0.1</v>
      </c>
      <c r="C1349" t="s">
        <v>4</v>
      </c>
    </row>
    <row r="1350" spans="1:3" x14ac:dyDescent="0.25">
      <c r="A1350" t="str" cm="1">
        <f t="array" aca="1" ref="A1350" ca="1">"a_CYC_2_" &amp; INDIRECT("F" &amp; ROW(C1350) - 23) &amp; "_p"</f>
        <v>a_CYC_2_9_6_p</v>
      </c>
      <c r="B1350">
        <v>0</v>
      </c>
      <c r="C1350" t="s">
        <v>5</v>
      </c>
    </row>
    <row r="1351" spans="1:3" x14ac:dyDescent="0.25">
      <c r="A1351" t="str" cm="1">
        <f t="array" aca="1" ref="A1351" ca="1">"a_CYC_3_" &amp; INDIRECT("F" &amp; ROW(C1351) - 24) &amp; "_p"</f>
        <v>a_CYC_3_9_6_p</v>
      </c>
      <c r="B1351">
        <v>2</v>
      </c>
      <c r="C1351" t="s">
        <v>6</v>
      </c>
    </row>
  </sheetData>
  <mergeCells count="81">
    <mergeCell ref="A2:C2"/>
    <mergeCell ref="F11:H11"/>
    <mergeCell ref="F15:H15"/>
    <mergeCell ref="A27:C27"/>
    <mergeCell ref="F36:H36"/>
    <mergeCell ref="F90:H90"/>
    <mergeCell ref="A102:C102"/>
    <mergeCell ref="F115:H115"/>
    <mergeCell ref="A127:C127"/>
    <mergeCell ref="F140:H140"/>
    <mergeCell ref="F40:H40"/>
    <mergeCell ref="A52:C52"/>
    <mergeCell ref="F61:H61"/>
    <mergeCell ref="F65:H65"/>
    <mergeCell ref="A77:C77"/>
    <mergeCell ref="A1302:C1302"/>
    <mergeCell ref="A1327:C1327"/>
    <mergeCell ref="A1202:C1202"/>
    <mergeCell ref="A1227:C1227"/>
    <mergeCell ref="A1252:C1252"/>
    <mergeCell ref="A1277:C1277"/>
    <mergeCell ref="A602:C602"/>
    <mergeCell ref="F336:H336"/>
    <mergeCell ref="F340:H340"/>
    <mergeCell ref="A352:C352"/>
    <mergeCell ref="F362:H362"/>
    <mergeCell ref="F366:H366"/>
    <mergeCell ref="A502:C502"/>
    <mergeCell ref="A527:C527"/>
    <mergeCell ref="A452:C452"/>
    <mergeCell ref="A477:C477"/>
    <mergeCell ref="A377:C377"/>
    <mergeCell ref="A402:C402"/>
    <mergeCell ref="A427:C427"/>
    <mergeCell ref="A902:C902"/>
    <mergeCell ref="A927:C927"/>
    <mergeCell ref="A952:C952"/>
    <mergeCell ref="A852:C852"/>
    <mergeCell ref="A877:C877"/>
    <mergeCell ref="A152:C152"/>
    <mergeCell ref="F161:H161"/>
    <mergeCell ref="F165:H165"/>
    <mergeCell ref="A177:C177"/>
    <mergeCell ref="F186:H186"/>
    <mergeCell ref="F211:H211"/>
    <mergeCell ref="F215:H215"/>
    <mergeCell ref="A227:C227"/>
    <mergeCell ref="F236:H236"/>
    <mergeCell ref="F240:H240"/>
    <mergeCell ref="A252:C252"/>
    <mergeCell ref="F190:H190"/>
    <mergeCell ref="A202:C202"/>
    <mergeCell ref="A1077:C1077"/>
    <mergeCell ref="A1102:C1102"/>
    <mergeCell ref="A552:C552"/>
    <mergeCell ref="A577:C577"/>
    <mergeCell ref="F261:H261"/>
    <mergeCell ref="F265:H265"/>
    <mergeCell ref="A277:C277"/>
    <mergeCell ref="F286:H286"/>
    <mergeCell ref="F290:H290"/>
    <mergeCell ref="A302:C302"/>
    <mergeCell ref="F311:H311"/>
    <mergeCell ref="F315:H315"/>
    <mergeCell ref="A327:C327"/>
    <mergeCell ref="A1127:C1127"/>
    <mergeCell ref="A1152:C1152"/>
    <mergeCell ref="A1177:C1177"/>
    <mergeCell ref="A627:C627"/>
    <mergeCell ref="A652:C652"/>
    <mergeCell ref="A677:C677"/>
    <mergeCell ref="A702:C702"/>
    <mergeCell ref="A727:C727"/>
    <mergeCell ref="A752:C752"/>
    <mergeCell ref="A777:C777"/>
    <mergeCell ref="A802:C802"/>
    <mergeCell ref="A827:C827"/>
    <mergeCell ref="A977:C977"/>
    <mergeCell ref="A1002:C1002"/>
    <mergeCell ref="A1027:C1027"/>
    <mergeCell ref="A1052:C105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</vt:lpstr>
      <vt:lpstr>Data</vt:lpstr>
      <vt:lpstr>Damage Functions Labour</vt:lpstr>
      <vt:lpstr>Damage Functions Capital</vt:lpstr>
      <vt:lpstr>Damage Functions TFP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Schult</dc:creator>
  <cp:lastModifiedBy>Khanh Pham</cp:lastModifiedBy>
  <dcterms:created xsi:type="dcterms:W3CDTF">2020-03-02T10:43:15Z</dcterms:created>
  <dcterms:modified xsi:type="dcterms:W3CDTF">2026-04-12T16:30:09Z</dcterms:modified>
</cp:coreProperties>
</file>